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15" windowHeight="7200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L27" i="2" l="1"/>
  <c r="L19" i="2"/>
  <c r="L15" i="2"/>
  <c r="L13" i="2"/>
  <c r="L12" i="2"/>
  <c r="L10" i="2"/>
  <c r="L9" i="2"/>
  <c r="L8" i="2"/>
  <c r="L7" i="2"/>
  <c r="L6" i="2"/>
  <c r="K27" i="2" l="1"/>
  <c r="K19" i="2"/>
  <c r="K15" i="2"/>
  <c r="K13" i="2"/>
  <c r="K12" i="2"/>
  <c r="K10" i="2"/>
  <c r="K9" i="2"/>
  <c r="K8" i="2"/>
  <c r="K7" i="2"/>
  <c r="K6" i="2"/>
  <c r="I19" i="2" l="1"/>
  <c r="J19" i="2"/>
  <c r="I15" i="2"/>
  <c r="J15" i="2"/>
  <c r="I13" i="2"/>
  <c r="J13" i="2"/>
  <c r="I12" i="2"/>
  <c r="J12" i="2"/>
  <c r="I9" i="2" l="1"/>
  <c r="J9" i="2"/>
  <c r="I8" i="2"/>
  <c r="J8" i="2"/>
  <c r="I7" i="2"/>
  <c r="J7" i="2"/>
  <c r="I6" i="2"/>
  <c r="J6" i="2"/>
  <c r="F13" i="2"/>
  <c r="G13" i="2"/>
  <c r="H13" i="2"/>
  <c r="F12" i="2"/>
  <c r="F15" i="2" s="1"/>
  <c r="G12" i="2"/>
  <c r="G15" i="2" s="1"/>
  <c r="H12" i="2"/>
  <c r="H15" i="2" s="1"/>
  <c r="G9" i="2"/>
  <c r="F8" i="2"/>
  <c r="G8" i="2"/>
  <c r="H8" i="2"/>
  <c r="F7" i="2"/>
  <c r="G7" i="2"/>
  <c r="H7" i="2"/>
  <c r="F6" i="2"/>
  <c r="F9" i="2" s="1"/>
  <c r="G6" i="2"/>
  <c r="H6" i="2"/>
  <c r="H9" i="2" s="1"/>
  <c r="D22" i="1"/>
  <c r="D8" i="1"/>
  <c r="D13" i="2" l="1"/>
  <c r="E13" i="2"/>
  <c r="D12" i="2"/>
  <c r="D15" i="2" s="1"/>
  <c r="E12" i="2"/>
  <c r="E15" i="2" s="1"/>
  <c r="D8" i="2" l="1"/>
  <c r="E8" i="2"/>
  <c r="D7" i="2"/>
  <c r="E7" i="2"/>
  <c r="D6" i="2"/>
  <c r="D9" i="2" s="1"/>
  <c r="E6" i="2"/>
  <c r="E9" i="2" s="1"/>
  <c r="C13" i="2"/>
  <c r="C15" i="2" s="1"/>
  <c r="C12" i="2"/>
  <c r="C9" i="2"/>
  <c r="C8" i="2"/>
  <c r="C7" i="2"/>
  <c r="C6" i="2"/>
  <c r="I27" i="2"/>
  <c r="J27" i="2"/>
  <c r="B13" i="2"/>
  <c r="B12" i="2"/>
  <c r="B8" i="2"/>
  <c r="B7" i="2"/>
  <c r="B6" i="2"/>
  <c r="T38" i="1" l="1"/>
  <c r="U38" i="1"/>
  <c r="M29" i="2"/>
  <c r="L29" i="2"/>
  <c r="K29" i="2"/>
  <c r="O21" i="2"/>
  <c r="N21" i="2"/>
  <c r="O17" i="2"/>
  <c r="N17" i="2"/>
  <c r="O14" i="2"/>
  <c r="N14" i="2"/>
  <c r="N12" i="2"/>
  <c r="N7" i="2"/>
  <c r="G10" i="2"/>
  <c r="G19" i="2" s="1"/>
  <c r="G27" i="2" s="1"/>
  <c r="D10" i="2"/>
  <c r="D19" i="2" s="1"/>
  <c r="D27" i="2" s="1"/>
  <c r="C10" i="2"/>
  <c r="C19" i="2" s="1"/>
  <c r="C27" i="2" s="1"/>
  <c r="O3" i="2"/>
  <c r="N3" i="2"/>
  <c r="U37" i="1"/>
  <c r="T37" i="1"/>
  <c r="F37" i="1"/>
  <c r="D37" i="1"/>
  <c r="U36" i="1"/>
  <c r="T36" i="1"/>
  <c r="F36" i="1"/>
  <c r="D36" i="1"/>
  <c r="U35" i="1"/>
  <c r="T35" i="1"/>
  <c r="F35" i="1"/>
  <c r="D35" i="1"/>
  <c r="U34" i="1"/>
  <c r="T34" i="1"/>
  <c r="F34" i="1"/>
  <c r="D34" i="1"/>
  <c r="U33" i="1"/>
  <c r="T33" i="1"/>
  <c r="F33" i="1"/>
  <c r="D33" i="1"/>
  <c r="U32" i="1"/>
  <c r="T32" i="1"/>
  <c r="F32" i="1"/>
  <c r="D32" i="1"/>
  <c r="U31" i="1"/>
  <c r="T31" i="1"/>
  <c r="F31" i="1"/>
  <c r="D31" i="1"/>
  <c r="U30" i="1"/>
  <c r="T30" i="1"/>
  <c r="F30" i="1"/>
  <c r="D30" i="1"/>
  <c r="U29" i="1"/>
  <c r="T29" i="1"/>
  <c r="F29" i="1"/>
  <c r="D29" i="1"/>
  <c r="U28" i="1"/>
  <c r="T28" i="1"/>
  <c r="F28" i="1"/>
  <c r="D28" i="1"/>
  <c r="U27" i="1"/>
  <c r="T27" i="1"/>
  <c r="F27" i="1"/>
  <c r="D27" i="1"/>
  <c r="U26" i="1"/>
  <c r="T26" i="1"/>
  <c r="F26" i="1"/>
  <c r="D26" i="1"/>
  <c r="U25" i="1"/>
  <c r="T25" i="1"/>
  <c r="F25" i="1"/>
  <c r="D25" i="1"/>
  <c r="U24" i="1"/>
  <c r="T24" i="1"/>
  <c r="F24" i="1"/>
  <c r="D24" i="1"/>
  <c r="U23" i="1"/>
  <c r="T23" i="1"/>
  <c r="F23" i="1"/>
  <c r="D23" i="1"/>
  <c r="U22" i="1"/>
  <c r="T22" i="1"/>
  <c r="F22" i="1"/>
  <c r="U21" i="1"/>
  <c r="T21" i="1"/>
  <c r="F21" i="1"/>
  <c r="D21" i="1"/>
  <c r="U20" i="1"/>
  <c r="T20" i="1"/>
  <c r="F20" i="1"/>
  <c r="D20" i="1"/>
  <c r="U19" i="1"/>
  <c r="T19" i="1"/>
  <c r="F19" i="1"/>
  <c r="D19" i="1"/>
  <c r="U18" i="1"/>
  <c r="T18" i="1"/>
  <c r="F18" i="1"/>
  <c r="D18" i="1"/>
  <c r="U17" i="1"/>
  <c r="T17" i="1"/>
  <c r="F17" i="1"/>
  <c r="D17" i="1"/>
  <c r="U16" i="1"/>
  <c r="T16" i="1"/>
  <c r="F16" i="1"/>
  <c r="D16" i="1"/>
  <c r="U15" i="1"/>
  <c r="T15" i="1"/>
  <c r="U14" i="1"/>
  <c r="T14" i="1"/>
  <c r="F14" i="1"/>
  <c r="D14" i="1"/>
  <c r="U13" i="1"/>
  <c r="T13" i="1"/>
  <c r="F13" i="1"/>
  <c r="D13" i="1"/>
  <c r="U12" i="1"/>
  <c r="T12" i="1"/>
  <c r="F12" i="1"/>
  <c r="D12" i="1"/>
  <c r="U11" i="1"/>
  <c r="T11" i="1"/>
  <c r="F11" i="1"/>
  <c r="D11" i="1"/>
  <c r="U10" i="1"/>
  <c r="T10" i="1"/>
  <c r="F10" i="1"/>
  <c r="D10" i="1"/>
  <c r="U9" i="1"/>
  <c r="T9" i="1"/>
  <c r="U8" i="1"/>
  <c r="T8" i="1"/>
  <c r="F8" i="1"/>
  <c r="U7" i="1"/>
  <c r="T7" i="1"/>
  <c r="F7" i="1"/>
  <c r="D7" i="1"/>
  <c r="U6" i="1"/>
  <c r="T6" i="1"/>
  <c r="F6" i="1"/>
  <c r="D6" i="1"/>
  <c r="U5" i="1"/>
  <c r="T5" i="1"/>
  <c r="F5" i="1"/>
  <c r="D5" i="1"/>
  <c r="U4" i="1"/>
  <c r="H10" i="2" l="1"/>
  <c r="H19" i="2" s="1"/>
  <c r="H27" i="2" s="1"/>
  <c r="O7" i="2"/>
  <c r="F10" i="2"/>
  <c r="J10" i="2"/>
  <c r="O8" i="2"/>
  <c r="B10" i="2"/>
  <c r="O13" i="2"/>
  <c r="G29" i="2"/>
  <c r="J29" i="2"/>
  <c r="D29" i="2"/>
  <c r="H29" i="2"/>
  <c r="C29" i="2"/>
  <c r="N8" i="2"/>
  <c r="E10" i="2"/>
  <c r="I10" i="2"/>
  <c r="I29" i="2" s="1"/>
  <c r="N13" i="2"/>
  <c r="N15" i="2" s="1"/>
  <c r="B15" i="2"/>
  <c r="O6" i="2"/>
  <c r="N6" i="2"/>
  <c r="B9" i="2"/>
  <c r="O12" i="2"/>
  <c r="F19" i="2" l="1"/>
  <c r="F27" i="2" s="1"/>
  <c r="F29" i="2" s="1"/>
  <c r="E29" i="2"/>
  <c r="E19" i="2"/>
  <c r="E27" i="2" s="1"/>
  <c r="O15" i="2"/>
  <c r="B19" i="2"/>
  <c r="B27" i="2" s="1"/>
  <c r="B29" i="2" s="1"/>
  <c r="N9" i="2"/>
  <c r="N10" i="2" s="1"/>
  <c r="N19" i="2" s="1"/>
  <c r="N24" i="2" s="1"/>
  <c r="O9" i="2"/>
  <c r="O10" i="2" s="1"/>
  <c r="O19" i="2" l="1"/>
  <c r="O24" i="2" s="1"/>
  <c r="N27" i="2"/>
  <c r="N29" i="2" s="1"/>
  <c r="O27" i="2"/>
  <c r="O29" i="2" s="1"/>
</calcChain>
</file>

<file path=xl/comments1.xml><?xml version="1.0" encoding="utf-8"?>
<comments xmlns="http://schemas.openxmlformats.org/spreadsheetml/2006/main">
  <authors>
    <author>Author</author>
  </authors>
  <commentList>
    <comment ref="A6" authorId="0" shapeId="0">
      <text>
        <r>
          <rPr>
            <sz val="8"/>
            <color indexed="81"/>
            <rFont val="Tahoma"/>
            <family val="2"/>
          </rPr>
          <t>a/c10,26,47 Dir.exp.</t>
        </r>
      </text>
    </comment>
    <comment ref="A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a/c 01
</t>
        </r>
      </text>
    </comment>
    <comment ref="A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a/c 02</t>
        </r>
      </text>
    </comment>
    <comment ref="A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j/v 131
</t>
        </r>
      </text>
    </comment>
    <comment ref="A12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a/c 08+15+16+17
</t>
        </r>
      </text>
    </comment>
    <comment ref="A1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a/c 19+20+21</t>
        </r>
      </text>
    </comment>
    <comment ref="A14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total fixed cost+a/c 08
-26-47-emp-r&amp;m
</t>
        </r>
      </text>
    </comment>
    <comment ref="A21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other mfg exp EDS</t>
        </r>
      </text>
    </comment>
    <comment ref="A24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maching with EDS excludingmelt loss&amp;alloy diff &amp; hds charge
</t>
        </r>
      </text>
    </comment>
  </commentList>
</comments>
</file>

<file path=xl/sharedStrings.xml><?xml version="1.0" encoding="utf-8"?>
<sst xmlns="http://schemas.openxmlformats.org/spreadsheetml/2006/main" count="74" uniqueCount="56">
  <si>
    <t>FY 15</t>
  </si>
  <si>
    <t>FY 16</t>
  </si>
  <si>
    <t>Average</t>
  </si>
  <si>
    <t>Cumm.</t>
  </si>
  <si>
    <t>Month</t>
  </si>
  <si>
    <t>Cumm</t>
  </si>
  <si>
    <t>PNG</t>
  </si>
  <si>
    <t>Power</t>
  </si>
  <si>
    <t>HNP</t>
  </si>
  <si>
    <t>Water</t>
  </si>
  <si>
    <t>Acid</t>
  </si>
  <si>
    <t>Boiler Chemical</t>
  </si>
  <si>
    <t>LIME</t>
  </si>
  <si>
    <t>Chemicals</t>
  </si>
  <si>
    <t>Reoiler Chemical</t>
  </si>
  <si>
    <t>Sludge dissposal</t>
  </si>
  <si>
    <t>Water dissposal</t>
  </si>
  <si>
    <t>NTL Operting supply</t>
  </si>
  <si>
    <t>NTL Miss</t>
  </si>
  <si>
    <t>R&amp;M Flt 27</t>
  </si>
  <si>
    <t>Wage</t>
  </si>
  <si>
    <t>OT</t>
  </si>
  <si>
    <t>Boiler RnM Eletrical</t>
  </si>
  <si>
    <t>ETP RnM Eletrical</t>
  </si>
  <si>
    <t>Lighting RnM Eletrical</t>
  </si>
  <si>
    <t>Transformer RnM Eletrical</t>
  </si>
  <si>
    <t>Ventilation RnM Eletrical</t>
  </si>
  <si>
    <t>NTL RnM Eletrical</t>
  </si>
  <si>
    <t>Motors RnM Eletrical</t>
  </si>
  <si>
    <t>EOT RnM Eletrical</t>
  </si>
  <si>
    <t>Instrument</t>
  </si>
  <si>
    <t>Degreasing RnM Mechnical</t>
  </si>
  <si>
    <t>DI Plant RnM Mechnical</t>
  </si>
  <si>
    <t>ETP RnM Mechanical</t>
  </si>
  <si>
    <t>Ventilatioin RnM Mechnical</t>
  </si>
  <si>
    <t>NTL RnM Mechnical</t>
  </si>
  <si>
    <t>Oil RnM Mechnical</t>
  </si>
  <si>
    <t>EOT RnM Mechnical</t>
  </si>
  <si>
    <t>Disele for FLT 27 (17)</t>
  </si>
  <si>
    <t>YTD FY 19</t>
  </si>
  <si>
    <t>Ytd avg</t>
  </si>
  <si>
    <t xml:space="preserve">TL Production </t>
  </si>
  <si>
    <t>Rs.</t>
  </si>
  <si>
    <t>Operating Supplies</t>
  </si>
  <si>
    <t>Gas</t>
  </si>
  <si>
    <t>TOTAL VARIABLE COST</t>
  </si>
  <si>
    <t>Employment Cost</t>
  </si>
  <si>
    <t>R&amp;M</t>
  </si>
  <si>
    <t>Others</t>
  </si>
  <si>
    <t>TOTAL FIXED COST</t>
  </si>
  <si>
    <t>Depreciation</t>
  </si>
  <si>
    <t>Total Expenses</t>
  </si>
  <si>
    <t>Less Abnormal Exp</t>
  </si>
  <si>
    <t>Normal Expenses</t>
  </si>
  <si>
    <t>Rs/T With Freight</t>
  </si>
  <si>
    <t>S.O.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</si>
</sst>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\-yy;@"/>
    <numFmt numFmtId="165" formatCode="[$-409]mmmm\-yy;@"/>
    <numFmt numFmtId="166" formatCode="0_);\(0\)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0" fillId="0" borderId="1" xfId="0" applyNumberFormat="1" applyBorder="1"/>
    <xf numFmtId="0" fontId="0" fillId="0" borderId="1" xfId="0" applyFill="1" applyBorder="1"/>
    <xf numFmtId="1" fontId="0" fillId="0" borderId="1" xfId="0" applyNumberFormat="1" applyBorder="1"/>
    <xf numFmtId="1" fontId="0" fillId="0" borderId="1" xfId="0" applyNumberFormat="1" applyFill="1" applyBorder="1"/>
    <xf numFmtId="1" fontId="0" fillId="0" borderId="0" xfId="0" applyNumberFormat="1"/>
    <xf numFmtId="0" fontId="0" fillId="0" borderId="1" xfId="0" applyBorder="1" applyAlignment="1">
      <alignment vertical="center"/>
    </xf>
    <xf numFmtId="17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3" fillId="0" borderId="1" xfId="0" applyFon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3" fillId="0" borderId="1" xfId="0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0" borderId="2" xfId="0" applyNumberFormat="1" applyFill="1" applyBorder="1"/>
    <xf numFmtId="1" fontId="0" fillId="2" borderId="1" xfId="0" applyNumberFormat="1" applyFill="1" applyBorder="1"/>
    <xf numFmtId="0" fontId="0" fillId="0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NTL</a:t>
            </a:r>
            <a:r>
              <a:rPr lang="en-US" baseline="0"/>
              <a:t> COST REPORT(2019-20)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572158365261814E-2"/>
          <c:y val="0.22569864102548226"/>
          <c:w val="0.96691358024691365"/>
          <c:h val="0.63560191239312025"/>
        </c:manualLayout>
      </c:layout>
      <c:bar3DChart>
        <c:barDir val="col"/>
        <c:grouping val="clustered"/>
        <c:varyColors val="0"/>
        <c:ser>
          <c:idx val="0"/>
          <c:order val="0"/>
          <c:tx>
            <c:v>Production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Sheet2!$B$1:$M$1</c:f>
              <c:numCache>
                <c:formatCode>mmm\-yy</c:formatCode>
                <c:ptCount val="12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</c:numCache>
            </c:numRef>
          </c:cat>
          <c:val>
            <c:numRef>
              <c:f>Sheet2!$B$3:$M$3</c:f>
              <c:numCache>
                <c:formatCode>0</c:formatCode>
                <c:ptCount val="12"/>
                <c:pt idx="0">
                  <c:v>365</c:v>
                </c:pt>
                <c:pt idx="1">
                  <c:v>420</c:v>
                </c:pt>
                <c:pt idx="2">
                  <c:v>635</c:v>
                </c:pt>
                <c:pt idx="3">
                  <c:v>1052</c:v>
                </c:pt>
                <c:pt idx="4">
                  <c:v>677</c:v>
                </c:pt>
                <c:pt idx="5">
                  <c:v>860</c:v>
                </c:pt>
                <c:pt idx="6">
                  <c:v>640</c:v>
                </c:pt>
                <c:pt idx="7">
                  <c:v>862</c:v>
                </c:pt>
                <c:pt idx="8">
                  <c:v>762</c:v>
                </c:pt>
                <c:pt idx="9">
                  <c:v>760</c:v>
                </c:pt>
                <c:pt idx="10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1-48FC-A92D-F1F0B761F153}"/>
            </c:ext>
          </c:extLst>
        </c:ser>
        <c:ser>
          <c:idx val="1"/>
          <c:order val="1"/>
          <c:tx>
            <c:v>Cost/Tonnage</c:v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Sheet2!$B$1:$M$1</c:f>
              <c:numCache>
                <c:formatCode>mmm\-yy</c:formatCode>
                <c:ptCount val="12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</c:numCache>
            </c:numRef>
          </c:cat>
          <c:val>
            <c:numRef>
              <c:f>Sheet2!$B$29:$M$29</c:f>
              <c:numCache>
                <c:formatCode>0</c:formatCode>
                <c:ptCount val="12"/>
                <c:pt idx="0">
                  <c:v>10533</c:v>
                </c:pt>
                <c:pt idx="1">
                  <c:v>12349.142857142857</c:v>
                </c:pt>
                <c:pt idx="2">
                  <c:v>5554.7637795275587</c:v>
                </c:pt>
                <c:pt idx="3">
                  <c:v>4508.5475285171105</c:v>
                </c:pt>
                <c:pt idx="4">
                  <c:v>6981.9276218611521</c:v>
                </c:pt>
                <c:pt idx="5">
                  <c:v>4567.6651162790695</c:v>
                </c:pt>
                <c:pt idx="6">
                  <c:v>5305.0109375000002</c:v>
                </c:pt>
                <c:pt idx="7">
                  <c:v>3600.197215777262</c:v>
                </c:pt>
                <c:pt idx="8">
                  <c:v>4464.5577427821527</c:v>
                </c:pt>
                <c:pt idx="9">
                  <c:v>5532.1342105263157</c:v>
                </c:pt>
                <c:pt idx="10">
                  <c:v>5610.169907881269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1-48FC-A92D-F1F0B761F1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127008975"/>
        <c:axId val="2127005647"/>
        <c:axId val="0"/>
      </c:bar3DChart>
      <c:dateAx>
        <c:axId val="212700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05647"/>
        <c:crosses val="autoZero"/>
        <c:auto val="1"/>
        <c:lblOffset val="100"/>
        <c:baseTimeUnit val="months"/>
      </c:dateAx>
      <c:valAx>
        <c:axId val="2127005647"/>
        <c:scaling>
          <c:orientation val="minMax"/>
        </c:scaling>
        <c:delete val="1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</a:t>
                </a:r>
                <a:r>
                  <a:rPr lang="en-US" sz="1200" baseline="0"/>
                  <a:t> - Cost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crossAx val="212700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30</xdr:row>
      <xdr:rowOff>104774</xdr:rowOff>
    </xdr:from>
    <xdr:to>
      <xdr:col>13</xdr:col>
      <xdr:colOff>428624</xdr:colOff>
      <xdr:row>49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38"/>
  <sheetViews>
    <sheetView topLeftCell="A7" workbookViewId="0">
      <selection activeCell="Q31" sqref="Q31"/>
    </sheetView>
  </sheetViews>
  <sheetFormatPr defaultRowHeight="15" x14ac:dyDescent="0.25"/>
  <cols>
    <col min="2" max="2" width="24.28515625" bestFit="1" customWidth="1"/>
    <col min="4" max="7" width="0" hidden="1" customWidth="1"/>
  </cols>
  <sheetData>
    <row r="3" spans="2:24" x14ac:dyDescent="0.25">
      <c r="B3" s="1"/>
      <c r="C3" s="1" t="s">
        <v>55</v>
      </c>
      <c r="D3" s="40" t="s">
        <v>0</v>
      </c>
      <c r="E3" s="40"/>
      <c r="F3" s="40" t="s">
        <v>1</v>
      </c>
      <c r="G3" s="40"/>
      <c r="H3" s="2">
        <v>43571</v>
      </c>
      <c r="I3" s="2">
        <v>43601</v>
      </c>
      <c r="J3" s="2">
        <v>43632</v>
      </c>
      <c r="K3" s="2">
        <v>43662</v>
      </c>
      <c r="L3" s="2">
        <v>43693</v>
      </c>
      <c r="M3" s="2">
        <v>43724</v>
      </c>
      <c r="N3" s="2">
        <v>43754</v>
      </c>
      <c r="O3" s="2">
        <v>43785</v>
      </c>
      <c r="P3" s="2">
        <v>43815</v>
      </c>
      <c r="Q3" s="2">
        <v>43846</v>
      </c>
      <c r="R3" s="2">
        <v>43877</v>
      </c>
      <c r="S3" s="2">
        <v>43906</v>
      </c>
      <c r="T3" s="1" t="s">
        <v>2</v>
      </c>
      <c r="U3" s="1" t="s">
        <v>3</v>
      </c>
    </row>
    <row r="4" spans="2:24" x14ac:dyDescent="0.25">
      <c r="B4" s="1"/>
      <c r="C4" s="1"/>
      <c r="D4" s="3" t="s">
        <v>4</v>
      </c>
      <c r="E4" s="3" t="s">
        <v>3</v>
      </c>
      <c r="F4" s="3" t="s">
        <v>4</v>
      </c>
      <c r="G4" s="3" t="s">
        <v>5</v>
      </c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5">
        <f>SUM(H4:S4)</f>
        <v>0</v>
      </c>
    </row>
    <row r="5" spans="2:24" x14ac:dyDescent="0.25">
      <c r="B5" s="1" t="s">
        <v>6</v>
      </c>
      <c r="C5" s="1">
        <v>32120</v>
      </c>
      <c r="D5" s="1">
        <f>E5/12</f>
        <v>867188.58333333337</v>
      </c>
      <c r="E5" s="1">
        <v>10406263</v>
      </c>
      <c r="F5" s="1">
        <f>G5/12</f>
        <v>507228.41666666669</v>
      </c>
      <c r="G5" s="1">
        <v>6086741</v>
      </c>
      <c r="H5" s="1">
        <v>191277</v>
      </c>
      <c r="I5" s="1">
        <v>195721</v>
      </c>
      <c r="J5" s="1">
        <v>261627</v>
      </c>
      <c r="K5" s="1">
        <v>515014</v>
      </c>
      <c r="L5" s="1">
        <v>483750</v>
      </c>
      <c r="M5" s="1">
        <v>449127</v>
      </c>
      <c r="N5" s="1">
        <v>217770</v>
      </c>
      <c r="O5" s="1">
        <v>344894</v>
      </c>
      <c r="P5" s="1">
        <v>172014</v>
      </c>
      <c r="Q5" s="1">
        <v>253015</v>
      </c>
      <c r="R5" s="1">
        <v>443414</v>
      </c>
      <c r="S5" s="6"/>
      <c r="T5" s="7">
        <f t="shared" ref="T5:T38" si="0">AVERAGE(H5:S5)</f>
        <v>320693</v>
      </c>
      <c r="U5" s="5">
        <f t="shared" ref="U5:U38" si="1">SUM(H5:S5)</f>
        <v>3527623</v>
      </c>
    </row>
    <row r="6" spans="2:24" x14ac:dyDescent="0.25">
      <c r="B6" s="1" t="s">
        <v>7</v>
      </c>
      <c r="C6" s="1">
        <v>32016</v>
      </c>
      <c r="D6" s="1">
        <f t="shared" ref="D6:D37" si="2">E6/12</f>
        <v>836059.5</v>
      </c>
      <c r="E6" s="1">
        <v>10032714</v>
      </c>
      <c r="F6" s="1">
        <f t="shared" ref="F6:F37" si="3">G6/12</f>
        <v>794021.25</v>
      </c>
      <c r="G6" s="1">
        <v>9528255</v>
      </c>
      <c r="H6" s="1">
        <v>731507</v>
      </c>
      <c r="I6" s="1">
        <v>792791</v>
      </c>
      <c r="J6" s="1">
        <v>1020609</v>
      </c>
      <c r="K6" s="7">
        <v>1500634</v>
      </c>
      <c r="L6" s="7">
        <v>1174976</v>
      </c>
      <c r="M6" s="7">
        <v>1038601</v>
      </c>
      <c r="N6" s="7">
        <v>534169</v>
      </c>
      <c r="O6" s="8">
        <v>494113</v>
      </c>
      <c r="P6" s="1">
        <v>1025753</v>
      </c>
      <c r="Q6" s="1">
        <v>1385958</v>
      </c>
      <c r="R6" s="1">
        <v>1571598</v>
      </c>
      <c r="S6" s="6"/>
      <c r="T6" s="7">
        <f t="shared" si="0"/>
        <v>1024609.9090909091</v>
      </c>
      <c r="U6" s="5">
        <f t="shared" si="1"/>
        <v>11270709</v>
      </c>
    </row>
    <row r="7" spans="2:24" x14ac:dyDescent="0.25">
      <c r="B7" s="1" t="s">
        <v>8</v>
      </c>
      <c r="C7" s="1">
        <v>32069</v>
      </c>
      <c r="D7" s="1">
        <f t="shared" si="2"/>
        <v>402263.08333333331</v>
      </c>
      <c r="E7" s="1">
        <v>4827157</v>
      </c>
      <c r="F7" s="1">
        <f t="shared" si="3"/>
        <v>313321.16666666669</v>
      </c>
      <c r="G7" s="1">
        <v>3759854</v>
      </c>
      <c r="H7" s="7">
        <v>158996</v>
      </c>
      <c r="I7" s="7">
        <v>193533</v>
      </c>
      <c r="J7" s="7">
        <v>146071</v>
      </c>
      <c r="K7" s="1">
        <v>292259</v>
      </c>
      <c r="L7" s="1">
        <v>263028</v>
      </c>
      <c r="M7" s="1">
        <v>302065</v>
      </c>
      <c r="N7" s="1">
        <v>230409</v>
      </c>
      <c r="O7" s="1">
        <v>198718</v>
      </c>
      <c r="P7" s="1">
        <v>146882</v>
      </c>
      <c r="Q7" s="1">
        <v>260124</v>
      </c>
      <c r="R7" s="1">
        <v>304537</v>
      </c>
      <c r="S7" s="6"/>
      <c r="T7" s="7">
        <f t="shared" si="0"/>
        <v>226965.63636363635</v>
      </c>
      <c r="U7" s="5">
        <f t="shared" si="1"/>
        <v>2496622</v>
      </c>
    </row>
    <row r="8" spans="2:24" x14ac:dyDescent="0.25">
      <c r="B8" s="1" t="s">
        <v>9</v>
      </c>
      <c r="C8" s="1">
        <v>32102</v>
      </c>
      <c r="D8" s="1">
        <f t="shared" si="2"/>
        <v>86724.25</v>
      </c>
      <c r="E8" s="1">
        <v>1040691</v>
      </c>
      <c r="F8" s="1">
        <f t="shared" si="3"/>
        <v>74871.25</v>
      </c>
      <c r="G8" s="1">
        <v>898455</v>
      </c>
      <c r="H8" s="1">
        <v>67888</v>
      </c>
      <c r="I8" s="1">
        <v>67312</v>
      </c>
      <c r="J8" s="1">
        <v>65773</v>
      </c>
      <c r="K8" s="1">
        <v>62119</v>
      </c>
      <c r="L8" s="1">
        <v>74047</v>
      </c>
      <c r="M8" s="1">
        <v>52531</v>
      </c>
      <c r="N8" s="1">
        <v>55635</v>
      </c>
      <c r="O8" s="1">
        <v>62289</v>
      </c>
      <c r="P8" s="1">
        <v>62814</v>
      </c>
      <c r="Q8" s="1">
        <v>69028</v>
      </c>
      <c r="R8" s="1">
        <v>79312</v>
      </c>
      <c r="S8" s="6"/>
      <c r="T8" s="7">
        <f t="shared" si="0"/>
        <v>65340.727272727272</v>
      </c>
      <c r="U8" s="5">
        <f t="shared" si="1"/>
        <v>718748</v>
      </c>
    </row>
    <row r="9" spans="2:24" x14ac:dyDescent="0.25">
      <c r="B9" s="1" t="s">
        <v>10</v>
      </c>
      <c r="C9" s="1">
        <v>32103</v>
      </c>
      <c r="D9" s="1"/>
      <c r="E9" s="1"/>
      <c r="F9" s="1"/>
      <c r="G9" s="1"/>
      <c r="H9" s="1">
        <v>0</v>
      </c>
      <c r="I9" s="1">
        <v>37720</v>
      </c>
      <c r="J9" s="1">
        <v>0</v>
      </c>
      <c r="K9" s="1">
        <v>34980</v>
      </c>
      <c r="L9" s="1">
        <v>35765</v>
      </c>
      <c r="M9" s="1">
        <v>37260</v>
      </c>
      <c r="N9" s="1">
        <v>0</v>
      </c>
      <c r="O9" s="1">
        <v>37376</v>
      </c>
      <c r="P9" s="1">
        <v>0</v>
      </c>
      <c r="Q9" s="1">
        <v>0</v>
      </c>
      <c r="R9" s="1">
        <v>88921</v>
      </c>
      <c r="S9" s="6"/>
      <c r="T9" s="7">
        <f t="shared" si="0"/>
        <v>24729.272727272728</v>
      </c>
      <c r="U9" s="5">
        <f t="shared" si="1"/>
        <v>272022</v>
      </c>
    </row>
    <row r="10" spans="2:24" x14ac:dyDescent="0.25">
      <c r="B10" s="1" t="s">
        <v>11</v>
      </c>
      <c r="C10" s="1">
        <v>32104</v>
      </c>
      <c r="D10" s="1">
        <f t="shared" si="2"/>
        <v>3607.0833333333335</v>
      </c>
      <c r="E10" s="1">
        <v>43285</v>
      </c>
      <c r="F10" s="1">
        <f t="shared" si="3"/>
        <v>13525.333333333334</v>
      </c>
      <c r="G10" s="1">
        <v>162304</v>
      </c>
      <c r="H10" s="1">
        <v>0</v>
      </c>
      <c r="I10" s="1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1">
        <v>0</v>
      </c>
      <c r="Q10" s="1">
        <v>0</v>
      </c>
      <c r="R10" s="1">
        <v>0</v>
      </c>
      <c r="S10" s="6"/>
      <c r="T10" s="7">
        <f t="shared" si="0"/>
        <v>0</v>
      </c>
      <c r="U10" s="5">
        <f t="shared" si="1"/>
        <v>0</v>
      </c>
    </row>
    <row r="11" spans="2:24" x14ac:dyDescent="0.25">
      <c r="B11" s="1" t="s">
        <v>12</v>
      </c>
      <c r="C11" s="1">
        <v>32105</v>
      </c>
      <c r="D11" s="1">
        <f t="shared" si="2"/>
        <v>25955.583333333332</v>
      </c>
      <c r="E11" s="1">
        <v>311467</v>
      </c>
      <c r="F11" s="1">
        <f t="shared" si="3"/>
        <v>13525.333333333334</v>
      </c>
      <c r="G11" s="1">
        <v>162304</v>
      </c>
      <c r="H11" s="7">
        <v>0</v>
      </c>
      <c r="I11" s="7">
        <v>0</v>
      </c>
      <c r="J11" s="7">
        <v>0</v>
      </c>
      <c r="K11" s="7">
        <v>33892</v>
      </c>
      <c r="L11" s="7">
        <v>34351</v>
      </c>
      <c r="M11" s="7">
        <v>0</v>
      </c>
      <c r="N11" s="7">
        <v>68701</v>
      </c>
      <c r="O11" s="7">
        <v>0</v>
      </c>
      <c r="P11" s="7">
        <v>0</v>
      </c>
      <c r="Q11" s="7">
        <v>0</v>
      </c>
      <c r="R11" s="7">
        <v>0</v>
      </c>
      <c r="S11" s="8"/>
      <c r="T11" s="7">
        <f t="shared" si="0"/>
        <v>12449.454545454546</v>
      </c>
      <c r="U11" s="5">
        <f t="shared" si="1"/>
        <v>136944</v>
      </c>
    </row>
    <row r="12" spans="2:24" x14ac:dyDescent="0.25">
      <c r="B12" s="1" t="s">
        <v>13</v>
      </c>
      <c r="C12" s="1">
        <v>32106</v>
      </c>
      <c r="D12" s="1">
        <f t="shared" si="2"/>
        <v>1444.1666666666667</v>
      </c>
      <c r="E12" s="1">
        <v>17330</v>
      </c>
      <c r="F12" s="1">
        <f t="shared" si="3"/>
        <v>4115</v>
      </c>
      <c r="G12" s="1">
        <v>49380</v>
      </c>
      <c r="H12" s="7">
        <v>127654</v>
      </c>
      <c r="I12" s="7">
        <v>80080</v>
      </c>
      <c r="J12" s="7">
        <v>56205</v>
      </c>
      <c r="K12" s="7">
        <v>111446</v>
      </c>
      <c r="L12" s="7">
        <v>112426</v>
      </c>
      <c r="M12" s="7">
        <v>109000</v>
      </c>
      <c r="N12" s="7">
        <v>114410</v>
      </c>
      <c r="O12" s="7">
        <v>34973</v>
      </c>
      <c r="P12" s="7">
        <v>210704</v>
      </c>
      <c r="Q12" s="7">
        <v>13320</v>
      </c>
      <c r="R12" s="7">
        <v>110000</v>
      </c>
      <c r="S12" s="8"/>
      <c r="T12" s="7">
        <f t="shared" si="0"/>
        <v>98201.636363636368</v>
      </c>
      <c r="U12" s="5">
        <f t="shared" si="1"/>
        <v>1080218</v>
      </c>
    </row>
    <row r="13" spans="2:24" x14ac:dyDescent="0.25">
      <c r="B13" s="1" t="s">
        <v>14</v>
      </c>
      <c r="C13" s="1">
        <v>32107</v>
      </c>
      <c r="D13" s="1">
        <f t="shared" si="2"/>
        <v>27498.916666666668</v>
      </c>
      <c r="E13" s="1">
        <v>329987</v>
      </c>
      <c r="F13" s="1">
        <f t="shared" si="3"/>
        <v>36697.916666666664</v>
      </c>
      <c r="G13" s="1">
        <v>440375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8"/>
      <c r="T13" s="7">
        <f t="shared" si="0"/>
        <v>0</v>
      </c>
      <c r="U13" s="5">
        <f t="shared" si="1"/>
        <v>0</v>
      </c>
      <c r="X13" s="9"/>
    </row>
    <row r="14" spans="2:24" x14ac:dyDescent="0.25">
      <c r="B14" s="1" t="s">
        <v>15</v>
      </c>
      <c r="C14" s="1">
        <v>32108</v>
      </c>
      <c r="D14" s="1">
        <f t="shared" si="2"/>
        <v>1681.1666666666667</v>
      </c>
      <c r="E14" s="1">
        <v>20174</v>
      </c>
      <c r="F14" s="1">
        <f t="shared" si="3"/>
        <v>1197.25</v>
      </c>
      <c r="G14" s="1">
        <v>14367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8"/>
      <c r="T14" s="7">
        <f t="shared" si="0"/>
        <v>0</v>
      </c>
      <c r="U14" s="5">
        <f t="shared" si="1"/>
        <v>0</v>
      </c>
    </row>
    <row r="15" spans="2:24" x14ac:dyDescent="0.25">
      <c r="B15" s="1" t="s">
        <v>16</v>
      </c>
      <c r="C15" s="1">
        <v>32109</v>
      </c>
      <c r="D15" s="1"/>
      <c r="E15" s="1"/>
      <c r="F15" s="1"/>
      <c r="G15" s="1"/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8"/>
      <c r="T15" s="7">
        <f t="shared" si="0"/>
        <v>0</v>
      </c>
      <c r="U15" s="5">
        <f t="shared" si="1"/>
        <v>0</v>
      </c>
    </row>
    <row r="16" spans="2:24" x14ac:dyDescent="0.25">
      <c r="B16" s="1" t="s">
        <v>17</v>
      </c>
      <c r="C16" s="1">
        <v>32110</v>
      </c>
      <c r="D16" s="1">
        <f t="shared" si="2"/>
        <v>745765.58333333337</v>
      </c>
      <c r="E16" s="1">
        <v>8949187</v>
      </c>
      <c r="F16" s="1">
        <f t="shared" si="3"/>
        <v>740206.91666666663</v>
      </c>
      <c r="G16" s="1">
        <v>8882483</v>
      </c>
      <c r="H16" s="7">
        <v>1019070</v>
      </c>
      <c r="I16" s="7">
        <v>1983679</v>
      </c>
      <c r="J16" s="7">
        <v>300438</v>
      </c>
      <c r="K16" s="7">
        <v>270466</v>
      </c>
      <c r="L16" s="7">
        <v>319384</v>
      </c>
      <c r="M16" s="7">
        <v>169657</v>
      </c>
      <c r="N16" s="7">
        <v>166615</v>
      </c>
      <c r="O16" s="7">
        <v>255000</v>
      </c>
      <c r="P16" s="7">
        <v>18641</v>
      </c>
      <c r="Q16" s="7">
        <v>327393</v>
      </c>
      <c r="R16" s="7">
        <v>1001639</v>
      </c>
      <c r="S16" s="8"/>
      <c r="T16" s="7">
        <f t="shared" si="0"/>
        <v>530180.18181818177</v>
      </c>
      <c r="U16" s="5">
        <f t="shared" si="1"/>
        <v>5831982</v>
      </c>
    </row>
    <row r="17" spans="2:24" x14ac:dyDescent="0.25">
      <c r="B17" s="1" t="s">
        <v>18</v>
      </c>
      <c r="C17" s="1">
        <v>32111</v>
      </c>
      <c r="D17" s="1">
        <f t="shared" si="2"/>
        <v>358969.75</v>
      </c>
      <c r="E17" s="1">
        <v>4307637</v>
      </c>
      <c r="F17" s="1">
        <f t="shared" si="3"/>
        <v>273215.16666666669</v>
      </c>
      <c r="G17" s="1">
        <v>3278582</v>
      </c>
      <c r="H17" s="7">
        <v>175787</v>
      </c>
      <c r="I17" s="7">
        <v>218300</v>
      </c>
      <c r="J17" s="7">
        <v>303780</v>
      </c>
      <c r="K17" s="7">
        <v>277427</v>
      </c>
      <c r="L17" s="7">
        <v>640977</v>
      </c>
      <c r="M17" s="7">
        <v>196780</v>
      </c>
      <c r="N17" s="38">
        <v>29507</v>
      </c>
      <c r="O17" s="7">
        <v>76826</v>
      </c>
      <c r="P17" s="7">
        <v>204102</v>
      </c>
      <c r="Q17" s="7">
        <v>83573</v>
      </c>
      <c r="R17" s="7">
        <v>108330</v>
      </c>
      <c r="S17" s="8"/>
      <c r="T17" s="7">
        <f t="shared" si="0"/>
        <v>210489.90909090909</v>
      </c>
      <c r="U17" s="5">
        <f t="shared" si="1"/>
        <v>2315389</v>
      </c>
      <c r="X17" s="9"/>
    </row>
    <row r="18" spans="2:24" x14ac:dyDescent="0.25">
      <c r="B18" s="1" t="s">
        <v>19</v>
      </c>
      <c r="C18" s="1">
        <v>32569</v>
      </c>
      <c r="D18" s="1">
        <f t="shared" si="2"/>
        <v>3812.0833333333335</v>
      </c>
      <c r="E18" s="1">
        <v>45745</v>
      </c>
      <c r="F18" s="1">
        <f t="shared" si="3"/>
        <v>17892</v>
      </c>
      <c r="G18" s="1">
        <v>214704</v>
      </c>
      <c r="H18" s="7">
        <v>0</v>
      </c>
      <c r="I18" s="7">
        <v>0</v>
      </c>
      <c r="J18" s="7">
        <v>0</v>
      </c>
      <c r="K18" s="7">
        <v>6846</v>
      </c>
      <c r="L18" s="7">
        <v>0</v>
      </c>
      <c r="M18" s="7">
        <v>0</v>
      </c>
      <c r="N18" s="7">
        <v>0</v>
      </c>
      <c r="O18" s="8">
        <v>0</v>
      </c>
      <c r="P18" s="7">
        <v>0</v>
      </c>
      <c r="Q18" s="7">
        <v>0</v>
      </c>
      <c r="R18" s="7">
        <v>0</v>
      </c>
      <c r="S18" s="8"/>
      <c r="T18" s="7">
        <f t="shared" si="0"/>
        <v>622.36363636363637</v>
      </c>
      <c r="U18" s="5">
        <f t="shared" si="1"/>
        <v>6846</v>
      </c>
    </row>
    <row r="19" spans="2:24" x14ac:dyDescent="0.25">
      <c r="B19" s="1" t="s">
        <v>20</v>
      </c>
      <c r="C19" s="1">
        <v>32141</v>
      </c>
      <c r="D19" s="1">
        <f t="shared" si="2"/>
        <v>890381.58333333337</v>
      </c>
      <c r="E19" s="1">
        <v>10684579</v>
      </c>
      <c r="F19" s="1">
        <f t="shared" si="3"/>
        <v>957392</v>
      </c>
      <c r="G19" s="1">
        <v>11488704</v>
      </c>
      <c r="H19" s="7">
        <v>1107770</v>
      </c>
      <c r="I19" s="7">
        <v>1219812</v>
      </c>
      <c r="J19" s="7">
        <v>1145879</v>
      </c>
      <c r="K19" s="37">
        <v>1121937</v>
      </c>
      <c r="L19" s="1">
        <v>1225712</v>
      </c>
      <c r="M19" s="1">
        <v>1167862</v>
      </c>
      <c r="N19" s="1">
        <v>1203699</v>
      </c>
      <c r="O19" s="39">
        <v>1163296</v>
      </c>
      <c r="P19" s="7">
        <v>1104126</v>
      </c>
      <c r="Q19" s="7">
        <v>1474469</v>
      </c>
      <c r="R19" s="7">
        <v>1241859</v>
      </c>
      <c r="S19" s="8"/>
      <c r="T19" s="7">
        <f t="shared" si="0"/>
        <v>1197856.4545454546</v>
      </c>
      <c r="U19" s="5">
        <f t="shared" si="1"/>
        <v>13176421</v>
      </c>
    </row>
    <row r="20" spans="2:24" x14ac:dyDescent="0.25">
      <c r="B20" s="1" t="s">
        <v>21</v>
      </c>
      <c r="C20" s="1">
        <v>32049</v>
      </c>
      <c r="D20" s="1">
        <f t="shared" si="2"/>
        <v>161374.66666666666</v>
      </c>
      <c r="E20" s="1">
        <v>1936496</v>
      </c>
      <c r="F20" s="1">
        <f t="shared" si="3"/>
        <v>169641.16666666666</v>
      </c>
      <c r="G20" s="1">
        <v>2035694</v>
      </c>
      <c r="H20" s="7">
        <v>124471</v>
      </c>
      <c r="I20" s="7">
        <v>166720</v>
      </c>
      <c r="J20" s="7">
        <v>150077</v>
      </c>
      <c r="K20" s="7">
        <v>177415</v>
      </c>
      <c r="L20" s="7">
        <v>130564</v>
      </c>
      <c r="M20" s="7">
        <v>212443</v>
      </c>
      <c r="N20" s="7">
        <v>134695</v>
      </c>
      <c r="O20" s="8">
        <v>191305</v>
      </c>
      <c r="P20" s="7">
        <v>165967</v>
      </c>
      <c r="Q20" s="7">
        <v>186513</v>
      </c>
      <c r="R20" s="7">
        <v>234587</v>
      </c>
      <c r="S20" s="8"/>
      <c r="T20" s="7">
        <f t="shared" si="0"/>
        <v>170432.45454545456</v>
      </c>
      <c r="U20" s="5">
        <f t="shared" si="1"/>
        <v>1874757</v>
      </c>
    </row>
    <row r="21" spans="2:24" x14ac:dyDescent="0.25">
      <c r="B21" s="1" t="s">
        <v>22</v>
      </c>
      <c r="C21" s="1">
        <v>32401</v>
      </c>
      <c r="D21" s="1">
        <f t="shared" si="2"/>
        <v>1516.1666666666667</v>
      </c>
      <c r="E21" s="1">
        <v>18194</v>
      </c>
      <c r="F21" s="1">
        <f t="shared" si="3"/>
        <v>5868.25</v>
      </c>
      <c r="G21" s="1">
        <v>70419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8">
        <v>0</v>
      </c>
      <c r="P21" s="7">
        <v>0</v>
      </c>
      <c r="Q21" s="7">
        <v>0</v>
      </c>
      <c r="R21" s="7">
        <v>0</v>
      </c>
      <c r="S21" s="8"/>
      <c r="T21" s="7">
        <f t="shared" si="0"/>
        <v>0</v>
      </c>
      <c r="U21" s="5">
        <f t="shared" si="1"/>
        <v>0</v>
      </c>
    </row>
    <row r="22" spans="2:24" x14ac:dyDescent="0.25">
      <c r="B22" s="1" t="s">
        <v>23</v>
      </c>
      <c r="C22" s="1">
        <v>32402</v>
      </c>
      <c r="D22" s="1">
        <f t="shared" si="2"/>
        <v>3632.25</v>
      </c>
      <c r="E22" s="1">
        <v>43587</v>
      </c>
      <c r="F22" s="1">
        <f t="shared" si="3"/>
        <v>7425.083333333333</v>
      </c>
      <c r="G22" s="1">
        <v>89101</v>
      </c>
      <c r="H22" s="7">
        <v>195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8">
        <v>0</v>
      </c>
      <c r="P22" s="7">
        <v>0</v>
      </c>
      <c r="Q22" s="7">
        <v>2711</v>
      </c>
      <c r="R22" s="7">
        <v>0</v>
      </c>
      <c r="S22" s="8"/>
      <c r="T22" s="7">
        <f t="shared" si="0"/>
        <v>264.18181818181819</v>
      </c>
      <c r="U22" s="5">
        <f t="shared" si="1"/>
        <v>2906</v>
      </c>
    </row>
    <row r="23" spans="2:24" x14ac:dyDescent="0.25">
      <c r="B23" s="1" t="s">
        <v>24</v>
      </c>
      <c r="C23" s="1">
        <v>32403</v>
      </c>
      <c r="D23" s="1">
        <f t="shared" si="2"/>
        <v>486.83333333333331</v>
      </c>
      <c r="E23" s="1">
        <v>5842</v>
      </c>
      <c r="F23" s="1">
        <f t="shared" si="3"/>
        <v>126.16666666666667</v>
      </c>
      <c r="G23" s="1">
        <v>1514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8">
        <v>0</v>
      </c>
      <c r="P23" s="7">
        <v>0</v>
      </c>
      <c r="Q23" s="7">
        <v>1317</v>
      </c>
      <c r="R23" s="7">
        <v>0</v>
      </c>
      <c r="S23" s="8"/>
      <c r="T23" s="7">
        <f t="shared" si="0"/>
        <v>119.72727272727273</v>
      </c>
      <c r="U23" s="5">
        <f t="shared" si="1"/>
        <v>1317</v>
      </c>
    </row>
    <row r="24" spans="2:24" x14ac:dyDescent="0.25">
      <c r="B24" s="1" t="s">
        <v>25</v>
      </c>
      <c r="C24" s="1">
        <v>32404</v>
      </c>
      <c r="D24" s="1">
        <f t="shared" si="2"/>
        <v>3133.8333333333335</v>
      </c>
      <c r="E24" s="1">
        <v>37606</v>
      </c>
      <c r="F24" s="1">
        <f t="shared" si="3"/>
        <v>0</v>
      </c>
      <c r="G24" s="1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8">
        <v>0</v>
      </c>
      <c r="P24" s="7">
        <v>0</v>
      </c>
      <c r="Q24" s="7">
        <v>0</v>
      </c>
      <c r="R24" s="7">
        <v>0</v>
      </c>
      <c r="S24" s="8"/>
      <c r="T24" s="7">
        <f t="shared" si="0"/>
        <v>0</v>
      </c>
      <c r="U24" s="5">
        <f t="shared" si="1"/>
        <v>0</v>
      </c>
    </row>
    <row r="25" spans="2:24" x14ac:dyDescent="0.25">
      <c r="B25" s="1" t="s">
        <v>26</v>
      </c>
      <c r="C25" s="1">
        <v>32405</v>
      </c>
      <c r="D25" s="1">
        <f t="shared" si="2"/>
        <v>679.91666666666663</v>
      </c>
      <c r="E25" s="1">
        <v>8159</v>
      </c>
      <c r="F25" s="1">
        <f t="shared" si="3"/>
        <v>0</v>
      </c>
      <c r="G25" s="1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8">
        <v>0</v>
      </c>
      <c r="P25" s="7">
        <v>0</v>
      </c>
      <c r="Q25" s="7">
        <v>0</v>
      </c>
      <c r="R25" s="7">
        <v>0</v>
      </c>
      <c r="S25" s="8"/>
      <c r="T25" s="7">
        <f t="shared" si="0"/>
        <v>0</v>
      </c>
      <c r="U25" s="5">
        <f t="shared" si="1"/>
        <v>0</v>
      </c>
    </row>
    <row r="26" spans="2:24" x14ac:dyDescent="0.25">
      <c r="B26" s="1" t="s">
        <v>27</v>
      </c>
      <c r="C26" s="1">
        <v>32413</v>
      </c>
      <c r="D26" s="1">
        <f t="shared" si="2"/>
        <v>57416.25</v>
      </c>
      <c r="E26" s="1">
        <v>688995</v>
      </c>
      <c r="F26" s="1">
        <f t="shared" si="3"/>
        <v>321699.5</v>
      </c>
      <c r="G26" s="1">
        <v>3860394</v>
      </c>
      <c r="H26" s="7">
        <v>7756</v>
      </c>
      <c r="I26" s="7">
        <v>80285</v>
      </c>
      <c r="J26" s="7">
        <v>46996</v>
      </c>
      <c r="K26" s="7">
        <v>94954</v>
      </c>
      <c r="L26" s="7">
        <v>22309</v>
      </c>
      <c r="M26" s="7">
        <v>46288</v>
      </c>
      <c r="N26" s="7">
        <v>20358</v>
      </c>
      <c r="O26" s="8">
        <v>84506</v>
      </c>
      <c r="P26" s="7">
        <v>52721</v>
      </c>
      <c r="Q26" s="7">
        <v>1403</v>
      </c>
      <c r="R26" s="7">
        <v>10762</v>
      </c>
      <c r="S26" s="8"/>
      <c r="T26" s="7">
        <f t="shared" si="0"/>
        <v>42576.181818181816</v>
      </c>
      <c r="U26" s="5">
        <f t="shared" si="1"/>
        <v>468338</v>
      </c>
    </row>
    <row r="27" spans="2:24" x14ac:dyDescent="0.25">
      <c r="B27" s="1" t="s">
        <v>28</v>
      </c>
      <c r="C27" s="1">
        <v>32414</v>
      </c>
      <c r="D27" s="1">
        <f t="shared" si="2"/>
        <v>3920.0833333333335</v>
      </c>
      <c r="E27" s="1">
        <v>47041</v>
      </c>
      <c r="F27" s="1">
        <f t="shared" si="3"/>
        <v>3235.4166666666665</v>
      </c>
      <c r="G27" s="1">
        <v>38825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8">
        <v>0</v>
      </c>
      <c r="P27" s="7">
        <v>16415</v>
      </c>
      <c r="Q27" s="7">
        <v>8649</v>
      </c>
      <c r="R27" s="7">
        <v>12123</v>
      </c>
      <c r="S27" s="8"/>
      <c r="T27" s="7">
        <f t="shared" si="0"/>
        <v>3380.6363636363635</v>
      </c>
      <c r="U27" s="5">
        <f t="shared" si="1"/>
        <v>37187</v>
      </c>
    </row>
    <row r="28" spans="2:24" x14ac:dyDescent="0.25">
      <c r="B28" s="1" t="s">
        <v>29</v>
      </c>
      <c r="C28" s="1">
        <v>32487</v>
      </c>
      <c r="D28" s="1">
        <f t="shared" si="2"/>
        <v>4257.5</v>
      </c>
      <c r="E28" s="1">
        <v>51090</v>
      </c>
      <c r="F28" s="1">
        <f t="shared" si="3"/>
        <v>10552.333333333334</v>
      </c>
      <c r="G28" s="1">
        <v>126628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8">
        <v>0</v>
      </c>
      <c r="P28" s="7">
        <v>0</v>
      </c>
      <c r="Q28" s="7">
        <v>0</v>
      </c>
      <c r="R28" s="7">
        <v>0</v>
      </c>
      <c r="S28" s="8"/>
      <c r="T28" s="7">
        <f t="shared" si="0"/>
        <v>0</v>
      </c>
      <c r="U28" s="5">
        <f t="shared" si="1"/>
        <v>0</v>
      </c>
    </row>
    <row r="29" spans="2:24" x14ac:dyDescent="0.25">
      <c r="B29" s="1" t="s">
        <v>30</v>
      </c>
      <c r="C29" s="1">
        <v>32619</v>
      </c>
      <c r="D29" s="1">
        <f t="shared" si="2"/>
        <v>2505.6666666666665</v>
      </c>
      <c r="E29" s="1">
        <v>30068</v>
      </c>
      <c r="F29" s="1">
        <f t="shared" si="3"/>
        <v>2214.6666666666665</v>
      </c>
      <c r="G29" s="1">
        <v>26576</v>
      </c>
      <c r="H29" s="7">
        <v>9924</v>
      </c>
      <c r="I29" s="7">
        <v>0</v>
      </c>
      <c r="J29" s="7">
        <v>0</v>
      </c>
      <c r="K29" s="7">
        <v>0</v>
      </c>
      <c r="L29" s="7">
        <v>6800</v>
      </c>
      <c r="M29" s="7">
        <v>0</v>
      </c>
      <c r="N29" s="7">
        <v>0</v>
      </c>
      <c r="O29" s="8">
        <v>0</v>
      </c>
      <c r="P29" s="7">
        <v>5823</v>
      </c>
      <c r="Q29" s="7">
        <v>0</v>
      </c>
      <c r="R29" s="7">
        <v>0</v>
      </c>
      <c r="S29" s="8"/>
      <c r="T29" s="7">
        <f t="shared" si="0"/>
        <v>2049.7272727272725</v>
      </c>
      <c r="U29" s="5">
        <f t="shared" si="1"/>
        <v>22547</v>
      </c>
    </row>
    <row r="30" spans="2:24" x14ac:dyDescent="0.25">
      <c r="B30" s="1" t="s">
        <v>31</v>
      </c>
      <c r="C30" s="1">
        <v>32406</v>
      </c>
      <c r="D30" s="1">
        <f t="shared" si="2"/>
        <v>81388.333333333328</v>
      </c>
      <c r="E30" s="1">
        <v>976660</v>
      </c>
      <c r="F30" s="1">
        <f t="shared" si="3"/>
        <v>99083.833333333328</v>
      </c>
      <c r="G30" s="1">
        <v>1189006</v>
      </c>
      <c r="H30" s="7">
        <v>0</v>
      </c>
      <c r="I30" s="7">
        <v>52030</v>
      </c>
      <c r="J30" s="7">
        <v>0</v>
      </c>
      <c r="K30" s="7">
        <v>52030</v>
      </c>
      <c r="L30" s="7">
        <v>52030</v>
      </c>
      <c r="M30" s="7">
        <v>52030</v>
      </c>
      <c r="N30" s="7">
        <v>52030</v>
      </c>
      <c r="O30" s="8">
        <v>52030</v>
      </c>
      <c r="P30" s="7">
        <v>104060</v>
      </c>
      <c r="Q30" s="7">
        <v>52030</v>
      </c>
      <c r="R30" s="7">
        <v>54430</v>
      </c>
      <c r="S30" s="8"/>
      <c r="T30" s="7">
        <f t="shared" si="0"/>
        <v>47518.181818181816</v>
      </c>
      <c r="U30" s="5">
        <f t="shared" si="1"/>
        <v>522700</v>
      </c>
    </row>
    <row r="31" spans="2:24" x14ac:dyDescent="0.25">
      <c r="B31" s="1" t="s">
        <v>32</v>
      </c>
      <c r="C31" s="1">
        <v>32407</v>
      </c>
      <c r="D31" s="1">
        <f t="shared" si="2"/>
        <v>25424.583333333332</v>
      </c>
      <c r="E31" s="1">
        <v>305095</v>
      </c>
      <c r="F31" s="1">
        <f t="shared" si="3"/>
        <v>9551.5</v>
      </c>
      <c r="G31" s="1">
        <v>114618</v>
      </c>
      <c r="H31" s="7">
        <v>0</v>
      </c>
      <c r="I31" s="7">
        <v>68400</v>
      </c>
      <c r="J31" s="7">
        <v>0</v>
      </c>
      <c r="K31" s="7">
        <v>720</v>
      </c>
      <c r="L31" s="7">
        <v>19965</v>
      </c>
      <c r="M31" s="7">
        <v>0</v>
      </c>
      <c r="N31" s="7">
        <v>0</v>
      </c>
      <c r="O31" s="8">
        <v>0</v>
      </c>
      <c r="P31" s="7">
        <v>0</v>
      </c>
      <c r="Q31" s="7">
        <v>0</v>
      </c>
      <c r="R31" s="7">
        <v>19965</v>
      </c>
      <c r="S31" s="8"/>
      <c r="T31" s="7">
        <f t="shared" si="0"/>
        <v>9913.636363636364</v>
      </c>
      <c r="U31" s="5">
        <f t="shared" si="1"/>
        <v>109050</v>
      </c>
    </row>
    <row r="32" spans="2:24" x14ac:dyDescent="0.25">
      <c r="B32" s="1" t="s">
        <v>33</v>
      </c>
      <c r="C32" s="1">
        <v>32408</v>
      </c>
      <c r="D32" s="1">
        <f t="shared" si="2"/>
        <v>8264.3333333333339</v>
      </c>
      <c r="E32" s="1">
        <v>99172</v>
      </c>
      <c r="F32" s="1">
        <f t="shared" si="3"/>
        <v>8766.8333333333339</v>
      </c>
      <c r="G32" s="1">
        <v>105202</v>
      </c>
      <c r="H32" s="7">
        <v>2177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8">
        <v>0</v>
      </c>
      <c r="P32" s="7">
        <v>1249</v>
      </c>
      <c r="Q32" s="7">
        <v>0</v>
      </c>
      <c r="R32" s="7">
        <v>516</v>
      </c>
      <c r="S32" s="8"/>
      <c r="T32" s="7">
        <f t="shared" si="0"/>
        <v>358.36363636363637</v>
      </c>
      <c r="U32" s="5">
        <f t="shared" si="1"/>
        <v>3942</v>
      </c>
    </row>
    <row r="33" spans="2:21" x14ac:dyDescent="0.25">
      <c r="B33" s="1" t="s">
        <v>34</v>
      </c>
      <c r="C33" s="1">
        <v>32409</v>
      </c>
      <c r="D33" s="1">
        <f t="shared" si="2"/>
        <v>1300</v>
      </c>
      <c r="E33" s="1">
        <v>15600</v>
      </c>
      <c r="F33" s="1">
        <f t="shared" si="3"/>
        <v>413.5</v>
      </c>
      <c r="G33" s="1">
        <v>4962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8">
        <v>0</v>
      </c>
      <c r="P33" s="7">
        <v>0</v>
      </c>
      <c r="Q33" s="7">
        <v>0</v>
      </c>
      <c r="R33" s="7">
        <v>0</v>
      </c>
      <c r="S33" s="8"/>
      <c r="T33" s="7">
        <f t="shared" si="0"/>
        <v>0</v>
      </c>
      <c r="U33" s="5">
        <f t="shared" si="1"/>
        <v>0</v>
      </c>
    </row>
    <row r="34" spans="2:21" x14ac:dyDescent="0.25">
      <c r="B34" s="1" t="s">
        <v>35</v>
      </c>
      <c r="C34" s="1">
        <v>32417</v>
      </c>
      <c r="D34" s="1">
        <f t="shared" si="2"/>
        <v>454071.58333333331</v>
      </c>
      <c r="E34" s="1">
        <v>5448859</v>
      </c>
      <c r="F34" s="1">
        <f t="shared" si="3"/>
        <v>41109.583333333336</v>
      </c>
      <c r="G34" s="1">
        <v>493315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8">
        <v>0</v>
      </c>
      <c r="P34" s="7">
        <v>0</v>
      </c>
      <c r="Q34" s="7">
        <v>0</v>
      </c>
      <c r="R34" s="7">
        <v>0</v>
      </c>
      <c r="S34" s="8"/>
      <c r="T34" s="7">
        <f t="shared" si="0"/>
        <v>0</v>
      </c>
      <c r="U34" s="5">
        <f t="shared" si="1"/>
        <v>0</v>
      </c>
    </row>
    <row r="35" spans="2:21" x14ac:dyDescent="0.25">
      <c r="B35" s="1" t="s">
        <v>36</v>
      </c>
      <c r="C35" s="1">
        <v>32418</v>
      </c>
      <c r="D35" s="1">
        <f t="shared" si="2"/>
        <v>2068.5</v>
      </c>
      <c r="E35" s="1">
        <v>24822</v>
      </c>
      <c r="F35" s="1">
        <f t="shared" si="3"/>
        <v>6023.5</v>
      </c>
      <c r="G35" s="1">
        <v>72282</v>
      </c>
      <c r="H35" s="7">
        <v>0</v>
      </c>
      <c r="I35" s="7">
        <v>0</v>
      </c>
      <c r="J35" s="7">
        <v>0</v>
      </c>
      <c r="K35" s="7">
        <v>6153</v>
      </c>
      <c r="L35" s="7">
        <v>0</v>
      </c>
      <c r="M35" s="7">
        <v>0</v>
      </c>
      <c r="N35" s="7">
        <v>0</v>
      </c>
      <c r="O35" s="8">
        <v>0</v>
      </c>
      <c r="P35" s="7">
        <v>18910</v>
      </c>
      <c r="Q35" s="7">
        <v>0</v>
      </c>
      <c r="R35" s="7">
        <v>0</v>
      </c>
      <c r="S35" s="8"/>
      <c r="T35" s="7">
        <f t="shared" si="0"/>
        <v>2278.4545454545455</v>
      </c>
      <c r="U35" s="5">
        <f t="shared" si="1"/>
        <v>25063</v>
      </c>
    </row>
    <row r="36" spans="2:21" x14ac:dyDescent="0.25">
      <c r="B36" s="1" t="s">
        <v>36</v>
      </c>
      <c r="C36" s="1">
        <v>32419</v>
      </c>
      <c r="D36" s="1">
        <f t="shared" si="2"/>
        <v>184064.25</v>
      </c>
      <c r="E36" s="1">
        <v>2208771</v>
      </c>
      <c r="F36" s="1">
        <f t="shared" si="3"/>
        <v>194773.66666666666</v>
      </c>
      <c r="G36" s="1">
        <v>2337284</v>
      </c>
      <c r="H36" s="7">
        <v>107326</v>
      </c>
      <c r="I36" s="7">
        <v>19020</v>
      </c>
      <c r="J36" s="7">
        <v>19020</v>
      </c>
      <c r="K36" s="7">
        <v>121213</v>
      </c>
      <c r="L36" s="7">
        <v>112285</v>
      </c>
      <c r="M36" s="7">
        <v>78741</v>
      </c>
      <c r="N36" s="7">
        <v>554222</v>
      </c>
      <c r="O36" s="8">
        <v>94139</v>
      </c>
      <c r="P36" s="7">
        <v>72510</v>
      </c>
      <c r="Q36" s="7">
        <v>62381</v>
      </c>
      <c r="R36" s="7">
        <v>174724</v>
      </c>
      <c r="S36" s="8"/>
      <c r="T36" s="7">
        <f t="shared" si="0"/>
        <v>128689.18181818182</v>
      </c>
      <c r="U36" s="5">
        <f t="shared" si="1"/>
        <v>1415581</v>
      </c>
    </row>
    <row r="37" spans="2:21" x14ac:dyDescent="0.25">
      <c r="B37" s="1" t="s">
        <v>37</v>
      </c>
      <c r="C37" s="1">
        <v>32484</v>
      </c>
      <c r="D37" s="1">
        <f t="shared" si="2"/>
        <v>3948.9166666666665</v>
      </c>
      <c r="E37" s="1">
        <v>47387</v>
      </c>
      <c r="F37" s="1">
        <f t="shared" si="3"/>
        <v>5375.833333333333</v>
      </c>
      <c r="G37" s="1">
        <v>64510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8">
        <v>0</v>
      </c>
      <c r="P37" s="7">
        <v>0</v>
      </c>
      <c r="Q37" s="7">
        <v>0</v>
      </c>
      <c r="R37" s="7">
        <v>0</v>
      </c>
      <c r="S37" s="8"/>
      <c r="T37" s="7">
        <f t="shared" si="0"/>
        <v>0</v>
      </c>
      <c r="U37" s="5">
        <f t="shared" si="1"/>
        <v>0</v>
      </c>
    </row>
    <row r="38" spans="2:21" x14ac:dyDescent="0.25">
      <c r="B38" s="6" t="s">
        <v>38</v>
      </c>
      <c r="C38" s="6">
        <v>32766</v>
      </c>
      <c r="D38" s="1"/>
      <c r="E38" s="1"/>
      <c r="F38" s="1"/>
      <c r="G38" s="1"/>
      <c r="H38" s="1">
        <v>12747</v>
      </c>
      <c r="I38" s="1">
        <v>11237</v>
      </c>
      <c r="J38" s="1">
        <v>10800</v>
      </c>
      <c r="K38" s="1">
        <v>70333</v>
      </c>
      <c r="L38" s="1">
        <v>18396</v>
      </c>
      <c r="M38" s="1">
        <v>15807</v>
      </c>
      <c r="N38" s="1">
        <v>12987</v>
      </c>
      <c r="O38" s="6">
        <v>13905</v>
      </c>
      <c r="P38" s="1">
        <v>19302</v>
      </c>
      <c r="Q38" s="1">
        <v>22538</v>
      </c>
      <c r="R38" s="1">
        <v>24419</v>
      </c>
      <c r="S38" s="6"/>
      <c r="T38" s="1">
        <f t="shared" si="0"/>
        <v>21133.727272727272</v>
      </c>
      <c r="U38" s="1">
        <f t="shared" si="1"/>
        <v>232471</v>
      </c>
    </row>
  </sheetData>
  <mergeCells count="2">
    <mergeCell ref="D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1"/>
  <sheetViews>
    <sheetView tabSelected="1" zoomScaleNormal="100" workbookViewId="0">
      <selection activeCell="Q44" sqref="Q44"/>
    </sheetView>
  </sheetViews>
  <sheetFormatPr defaultRowHeight="15" x14ac:dyDescent="0.25"/>
  <cols>
    <col min="1" max="1" width="23.140625" style="13" bestFit="1" customWidth="1"/>
    <col min="2" max="4" width="9.140625" style="13"/>
    <col min="5" max="13" width="9.140625" style="13" customWidth="1"/>
    <col min="14" max="14" width="10" style="32" bestFit="1" customWidth="1"/>
    <col min="15" max="15" width="9.85546875" style="32" hidden="1" customWidth="1"/>
    <col min="16" max="17" width="9.140625" style="13"/>
    <col min="18" max="18" width="13.7109375" style="13" bestFit="1" customWidth="1"/>
    <col min="19" max="19" width="12.7109375" style="13" bestFit="1" customWidth="1"/>
    <col min="20" max="16384" width="9.140625" style="13"/>
  </cols>
  <sheetData>
    <row r="1" spans="1:21" x14ac:dyDescent="0.25">
      <c r="A1" s="10"/>
      <c r="B1" s="11">
        <v>43556</v>
      </c>
      <c r="C1" s="11">
        <v>43586</v>
      </c>
      <c r="D1" s="11">
        <v>43617</v>
      </c>
      <c r="E1" s="11">
        <v>43647</v>
      </c>
      <c r="F1" s="11">
        <v>43678</v>
      </c>
      <c r="G1" s="11">
        <v>43709</v>
      </c>
      <c r="H1" s="11">
        <v>43739</v>
      </c>
      <c r="I1" s="11">
        <v>43770</v>
      </c>
      <c r="J1" s="11">
        <v>43800</v>
      </c>
      <c r="K1" s="11">
        <v>43831</v>
      </c>
      <c r="L1" s="11">
        <v>43862</v>
      </c>
      <c r="M1" s="11">
        <v>43891</v>
      </c>
      <c r="N1" s="12" t="s">
        <v>39</v>
      </c>
      <c r="O1" s="12" t="s">
        <v>40</v>
      </c>
    </row>
    <row r="2" spans="1:2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2"/>
      <c r="O2" s="12"/>
    </row>
    <row r="3" spans="1:21" x14ac:dyDescent="0.25">
      <c r="A3" s="14" t="s">
        <v>41</v>
      </c>
      <c r="B3" s="15">
        <v>365</v>
      </c>
      <c r="C3" s="15">
        <v>420</v>
      </c>
      <c r="D3" s="15">
        <v>635</v>
      </c>
      <c r="E3" s="15">
        <v>1052</v>
      </c>
      <c r="F3" s="15">
        <v>677</v>
      </c>
      <c r="G3" s="15">
        <v>860</v>
      </c>
      <c r="H3" s="15">
        <v>640</v>
      </c>
      <c r="I3" s="15">
        <v>862</v>
      </c>
      <c r="J3" s="15">
        <v>762</v>
      </c>
      <c r="K3" s="15">
        <v>760</v>
      </c>
      <c r="L3" s="15">
        <v>977</v>
      </c>
      <c r="M3" s="15"/>
      <c r="N3" s="16">
        <f>SUM(B3:M3)</f>
        <v>8010</v>
      </c>
      <c r="O3" s="16">
        <f>AVERAGE(B3:M3)</f>
        <v>728.18181818181813</v>
      </c>
    </row>
    <row r="4" spans="1:2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2"/>
      <c r="O4" s="12"/>
    </row>
    <row r="5" spans="1:21" x14ac:dyDescent="0.25">
      <c r="A5" s="17"/>
      <c r="B5" s="18" t="s">
        <v>42</v>
      </c>
      <c r="C5" s="18" t="s">
        <v>42</v>
      </c>
      <c r="D5" s="18" t="s">
        <v>42</v>
      </c>
      <c r="E5" s="18" t="s">
        <v>42</v>
      </c>
      <c r="F5" s="18" t="s">
        <v>42</v>
      </c>
      <c r="G5" s="18" t="s">
        <v>42</v>
      </c>
      <c r="H5" s="18" t="s">
        <v>42</v>
      </c>
      <c r="I5" s="18" t="s">
        <v>42</v>
      </c>
      <c r="J5" s="18" t="s">
        <v>42</v>
      </c>
      <c r="K5" s="18" t="s">
        <v>42</v>
      </c>
      <c r="L5" s="18" t="s">
        <v>42</v>
      </c>
      <c r="M5" s="18" t="s">
        <v>42</v>
      </c>
      <c r="N5" s="19" t="s">
        <v>42</v>
      </c>
      <c r="O5" s="19" t="s">
        <v>42</v>
      </c>
      <c r="R5" s="20"/>
      <c r="S5" s="21"/>
      <c r="U5" s="21"/>
    </row>
    <row r="6" spans="1:21" x14ac:dyDescent="0.25">
      <c r="A6" s="22" t="s">
        <v>43</v>
      </c>
      <c r="B6" s="34">
        <f>SUM(Sheet1!H7:H17,Sheet1!H38)</f>
        <v>1562142</v>
      </c>
      <c r="C6" s="34">
        <f>SUM(Sheet1!I7:I17,Sheet1!I38)</f>
        <v>2591861</v>
      </c>
      <c r="D6" s="34">
        <f>SUM(Sheet1!J7:J17,Sheet1!J38)</f>
        <v>883067</v>
      </c>
      <c r="E6" s="34">
        <f>SUM(Sheet1!K7:K17,Sheet1!K38)</f>
        <v>1152922</v>
      </c>
      <c r="F6" s="34">
        <f>SUM(Sheet1!L7:L17,Sheet1!L38)</f>
        <v>1498374</v>
      </c>
      <c r="G6" s="34">
        <f>SUM(Sheet1!M7:M17,Sheet1!M38)</f>
        <v>883100</v>
      </c>
      <c r="H6" s="34">
        <f>SUM(Sheet1!N7:N17,Sheet1!N38)</f>
        <v>678264</v>
      </c>
      <c r="I6" s="34">
        <f>SUM(Sheet1!O7:O17,Sheet1!O38)</f>
        <v>679087</v>
      </c>
      <c r="J6" s="34">
        <f>SUM(Sheet1!P7:P17,Sheet1!P38)</f>
        <v>662445</v>
      </c>
      <c r="K6" s="34">
        <f>SUM(Sheet1!Q7:Q17,Sheet1!Q38)</f>
        <v>775976</v>
      </c>
      <c r="L6" s="34">
        <f>SUM(Sheet1!R7:R17,Sheet1!R38)</f>
        <v>1717158</v>
      </c>
      <c r="M6" s="10"/>
      <c r="N6" s="12">
        <f>SUM(B6:M6)</f>
        <v>13084396</v>
      </c>
      <c r="O6" s="16">
        <f>AVERAGE(B6:M6)</f>
        <v>1189490.5454545454</v>
      </c>
      <c r="R6" s="20"/>
      <c r="S6" s="21"/>
      <c r="U6" s="21"/>
    </row>
    <row r="7" spans="1:21" x14ac:dyDescent="0.25">
      <c r="A7" s="22" t="s">
        <v>7</v>
      </c>
      <c r="B7" s="35">
        <f>Sheet1!H6</f>
        <v>731507</v>
      </c>
      <c r="C7" s="35">
        <f>Sheet1!I6</f>
        <v>792791</v>
      </c>
      <c r="D7" s="35">
        <f>Sheet1!J6</f>
        <v>1020609</v>
      </c>
      <c r="E7" s="35">
        <f>Sheet1!K6</f>
        <v>1500634</v>
      </c>
      <c r="F7" s="35">
        <f>Sheet1!L6</f>
        <v>1174976</v>
      </c>
      <c r="G7" s="35">
        <f>Sheet1!M6</f>
        <v>1038601</v>
      </c>
      <c r="H7" s="35">
        <f>Sheet1!N6</f>
        <v>534169</v>
      </c>
      <c r="I7" s="35">
        <f>Sheet1!O6</f>
        <v>494113</v>
      </c>
      <c r="J7" s="35">
        <f>Sheet1!P6</f>
        <v>1025753</v>
      </c>
      <c r="K7" s="35">
        <f>Sheet1!Q6</f>
        <v>1385958</v>
      </c>
      <c r="L7" s="35">
        <f>Sheet1!R6</f>
        <v>1571598</v>
      </c>
      <c r="M7" s="10"/>
      <c r="N7" s="12">
        <f t="shared" ref="N7:N9" si="0">SUM(B7:M7)</f>
        <v>11270709</v>
      </c>
      <c r="O7" s="16">
        <f t="shared" ref="O7:O9" si="1">AVERAGE(B7:M7)</f>
        <v>1024609.9090909091</v>
      </c>
      <c r="R7" s="20"/>
      <c r="S7" s="21"/>
      <c r="U7" s="21"/>
    </row>
    <row r="8" spans="1:21" x14ac:dyDescent="0.25">
      <c r="A8" s="22" t="s">
        <v>44</v>
      </c>
      <c r="B8" s="35">
        <f>Sheet1!H5</f>
        <v>191277</v>
      </c>
      <c r="C8" s="35">
        <f>Sheet1!I5</f>
        <v>195721</v>
      </c>
      <c r="D8" s="35">
        <f>Sheet1!J5</f>
        <v>261627</v>
      </c>
      <c r="E8" s="35">
        <f>Sheet1!K5</f>
        <v>515014</v>
      </c>
      <c r="F8" s="35">
        <f>Sheet1!L5</f>
        <v>483750</v>
      </c>
      <c r="G8" s="35">
        <f>Sheet1!M5</f>
        <v>449127</v>
      </c>
      <c r="H8" s="35">
        <f>Sheet1!N5</f>
        <v>217770</v>
      </c>
      <c r="I8" s="35">
        <f>Sheet1!O5</f>
        <v>344894</v>
      </c>
      <c r="J8" s="35">
        <f>Sheet1!P5</f>
        <v>172014</v>
      </c>
      <c r="K8" s="35">
        <f>Sheet1!Q5</f>
        <v>253015</v>
      </c>
      <c r="L8" s="35">
        <f>Sheet1!R5</f>
        <v>443414</v>
      </c>
      <c r="M8" s="10"/>
      <c r="N8" s="12">
        <f t="shared" si="0"/>
        <v>3527623</v>
      </c>
      <c r="O8" s="16">
        <f t="shared" si="1"/>
        <v>320693</v>
      </c>
      <c r="R8" s="20"/>
      <c r="S8" s="21"/>
      <c r="U8" s="21"/>
    </row>
    <row r="9" spans="1:21" x14ac:dyDescent="0.25">
      <c r="A9" s="22"/>
      <c r="B9" s="34">
        <f>B6/B3</f>
        <v>4279.8410958904105</v>
      </c>
      <c r="C9" s="34">
        <f>C6/C3</f>
        <v>6171.0976190476194</v>
      </c>
      <c r="D9" s="34">
        <f t="shared" ref="D9:L9" si="2">D6/D3</f>
        <v>1390.6566929133858</v>
      </c>
      <c r="E9" s="34">
        <f t="shared" si="2"/>
        <v>1095.9334600760455</v>
      </c>
      <c r="F9" s="34">
        <f t="shared" si="2"/>
        <v>2213.2555391432793</v>
      </c>
      <c r="G9" s="34">
        <f t="shared" si="2"/>
        <v>1026.8604651162791</v>
      </c>
      <c r="H9" s="34">
        <f t="shared" si="2"/>
        <v>1059.7874999999999</v>
      </c>
      <c r="I9" s="34">
        <f t="shared" si="2"/>
        <v>787.80394431554521</v>
      </c>
      <c r="J9" s="34">
        <f t="shared" si="2"/>
        <v>869.35039370078744</v>
      </c>
      <c r="K9" s="34">
        <f t="shared" si="2"/>
        <v>1021.021052631579</v>
      </c>
      <c r="L9" s="34">
        <f t="shared" si="2"/>
        <v>1757.582395087001</v>
      </c>
      <c r="M9" s="23"/>
      <c r="N9" s="16">
        <f t="shared" si="0"/>
        <v>21673.190157921934</v>
      </c>
      <c r="O9" s="16">
        <f t="shared" si="1"/>
        <v>1970.2900143565394</v>
      </c>
      <c r="R9" s="20"/>
    </row>
    <row r="10" spans="1:21" x14ac:dyDescent="0.25">
      <c r="A10" s="24" t="s">
        <v>45</v>
      </c>
      <c r="B10" s="36">
        <f>SUM(B6:B8)</f>
        <v>2484926</v>
      </c>
      <c r="C10" s="36">
        <f t="shared" ref="C10:L10" si="3">SUM(C6:C8)</f>
        <v>3580373</v>
      </c>
      <c r="D10" s="36">
        <f t="shared" si="3"/>
        <v>2165303</v>
      </c>
      <c r="E10" s="36">
        <f t="shared" si="3"/>
        <v>3168570</v>
      </c>
      <c r="F10" s="36">
        <f t="shared" si="3"/>
        <v>3157100</v>
      </c>
      <c r="G10" s="36">
        <f t="shared" si="3"/>
        <v>2370828</v>
      </c>
      <c r="H10" s="36">
        <f t="shared" si="3"/>
        <v>1430203</v>
      </c>
      <c r="I10" s="36">
        <f t="shared" si="3"/>
        <v>1518094</v>
      </c>
      <c r="J10" s="36">
        <f t="shared" si="3"/>
        <v>1860212</v>
      </c>
      <c r="K10" s="36">
        <f t="shared" si="3"/>
        <v>2414949</v>
      </c>
      <c r="L10" s="36">
        <f t="shared" si="3"/>
        <v>3732170</v>
      </c>
      <c r="M10" s="25"/>
      <c r="N10" s="26">
        <f>SUM(N6:N9)</f>
        <v>27904401.19015792</v>
      </c>
      <c r="O10" s="27">
        <f>SUM(O6:O9)</f>
        <v>2536763.744559811</v>
      </c>
      <c r="R10" s="20"/>
    </row>
    <row r="11" spans="1:21" x14ac:dyDescent="0.25">
      <c r="A11" s="22"/>
      <c r="B11" s="2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2"/>
      <c r="O11" s="12"/>
      <c r="R11" s="20"/>
    </row>
    <row r="12" spans="1:21" x14ac:dyDescent="0.25">
      <c r="A12" s="22" t="s">
        <v>46</v>
      </c>
      <c r="B12" s="34">
        <f>SUM(Sheet1!H19:H20)</f>
        <v>1232241</v>
      </c>
      <c r="C12" s="34">
        <f>SUM(Sheet1!I19:I20)</f>
        <v>1386532</v>
      </c>
      <c r="D12" s="34">
        <f>SUM(Sheet1!J19:J20)</f>
        <v>1295956</v>
      </c>
      <c r="E12" s="34">
        <f>SUM(Sheet1!K19:K20)</f>
        <v>1299352</v>
      </c>
      <c r="F12" s="34">
        <f>SUM(Sheet1!L19:L20)</f>
        <v>1356276</v>
      </c>
      <c r="G12" s="34">
        <f>SUM(Sheet1!M19:M20)</f>
        <v>1380305</v>
      </c>
      <c r="H12" s="34">
        <f>SUM(Sheet1!N19:N20)</f>
        <v>1338394</v>
      </c>
      <c r="I12" s="34">
        <f>SUM(Sheet1!O19:O20)</f>
        <v>1354601</v>
      </c>
      <c r="J12" s="34">
        <f>SUM(Sheet1!P19:P20)</f>
        <v>1270093</v>
      </c>
      <c r="K12" s="34">
        <f>SUM(Sheet1!Q19:Q20)</f>
        <v>1660982</v>
      </c>
      <c r="L12" s="34">
        <f>SUM(Sheet1!R19:R20)</f>
        <v>1476446</v>
      </c>
      <c r="M12" s="10"/>
      <c r="N12" s="12">
        <f>SUM(B12:M12)</f>
        <v>15051178</v>
      </c>
      <c r="O12" s="16">
        <f>AVERAGE(B12:M12)</f>
        <v>1368288.9090909092</v>
      </c>
      <c r="R12" s="20"/>
    </row>
    <row r="13" spans="1:21" x14ac:dyDescent="0.25">
      <c r="A13" s="22" t="s">
        <v>47</v>
      </c>
      <c r="B13" s="34">
        <f>SUM(Sheet1!H21:H37)</f>
        <v>127378</v>
      </c>
      <c r="C13" s="34">
        <f>SUM(Sheet1!I21:I37)</f>
        <v>219735</v>
      </c>
      <c r="D13" s="34">
        <f>SUM(Sheet1!J21:J37)</f>
        <v>66016</v>
      </c>
      <c r="E13" s="34">
        <f>SUM(Sheet1!K21:K37)</f>
        <v>275070</v>
      </c>
      <c r="F13" s="34">
        <f>SUM(Sheet1!L21:L37)</f>
        <v>213389</v>
      </c>
      <c r="G13" s="34">
        <f>SUM(Sheet1!M21:M37)</f>
        <v>177059</v>
      </c>
      <c r="H13" s="34">
        <f>SUM(Sheet1!N21:N37)</f>
        <v>626610</v>
      </c>
      <c r="I13" s="34">
        <f>SUM(Sheet1!O21:O37)</f>
        <v>230675</v>
      </c>
      <c r="J13" s="34">
        <f>SUM(Sheet1!P21:P37)</f>
        <v>271688</v>
      </c>
      <c r="K13" s="34">
        <f>SUM(Sheet1!Q21:Q37)</f>
        <v>128491</v>
      </c>
      <c r="L13" s="34">
        <f>SUM(Sheet1!R21:R37)</f>
        <v>272520</v>
      </c>
      <c r="M13" s="10"/>
      <c r="N13" s="12">
        <f>SUM(B13:M13)</f>
        <v>2608631</v>
      </c>
      <c r="O13" s="16">
        <f>AVERAGE(B13:M13)</f>
        <v>237148.27272727274</v>
      </c>
      <c r="R13" s="20"/>
    </row>
    <row r="14" spans="1:21" x14ac:dyDescent="0.25">
      <c r="A14" s="22" t="s">
        <v>48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2">
        <f>SUM(B14:M14)</f>
        <v>0</v>
      </c>
      <c r="O14" s="16" t="e">
        <f>AVERAGE(B14:M14)</f>
        <v>#DIV/0!</v>
      </c>
      <c r="R14" s="28"/>
    </row>
    <row r="15" spans="1:21" x14ac:dyDescent="0.25">
      <c r="A15" s="24" t="s">
        <v>49</v>
      </c>
      <c r="B15" s="36">
        <f>B12+B13</f>
        <v>1359619</v>
      </c>
      <c r="C15" s="36">
        <f>C12+C13</f>
        <v>1606267</v>
      </c>
      <c r="D15" s="36">
        <f t="shared" ref="D15:L15" si="4">D12+D13</f>
        <v>1361972</v>
      </c>
      <c r="E15" s="36">
        <f t="shared" si="4"/>
        <v>1574422</v>
      </c>
      <c r="F15" s="36">
        <f t="shared" si="4"/>
        <v>1569665</v>
      </c>
      <c r="G15" s="36">
        <f t="shared" si="4"/>
        <v>1557364</v>
      </c>
      <c r="H15" s="36">
        <f t="shared" si="4"/>
        <v>1965004</v>
      </c>
      <c r="I15" s="36">
        <f t="shared" si="4"/>
        <v>1585276</v>
      </c>
      <c r="J15" s="36">
        <f t="shared" si="4"/>
        <v>1541781</v>
      </c>
      <c r="K15" s="36">
        <f t="shared" si="4"/>
        <v>1789473</v>
      </c>
      <c r="L15" s="36">
        <f t="shared" si="4"/>
        <v>1748966</v>
      </c>
      <c r="M15" s="24"/>
      <c r="N15" s="26">
        <f>SUM(N12:N14)</f>
        <v>17659809</v>
      </c>
      <c r="O15" s="26" t="e">
        <f>SUM(O12:O14)</f>
        <v>#DIV/0!</v>
      </c>
      <c r="R15" s="28"/>
    </row>
    <row r="16" spans="1:21" x14ac:dyDescent="0.25">
      <c r="A16" s="10"/>
      <c r="B16" s="2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"/>
      <c r="O16" s="12"/>
      <c r="R16" s="28"/>
    </row>
    <row r="17" spans="1:16" x14ac:dyDescent="0.25">
      <c r="A17" s="22" t="s">
        <v>50</v>
      </c>
      <c r="B17" s="22"/>
      <c r="C17" s="10"/>
      <c r="D17" s="10"/>
      <c r="E17" s="10"/>
      <c r="F17" s="10"/>
      <c r="G17" s="10"/>
      <c r="H17" s="10"/>
      <c r="I17" s="30"/>
      <c r="J17" s="10"/>
      <c r="K17" s="10"/>
      <c r="L17" s="10"/>
      <c r="M17" s="10"/>
      <c r="N17" s="12">
        <f>SUM(B17:M17)</f>
        <v>0</v>
      </c>
      <c r="O17" s="16" t="e">
        <f>AVERAGE(B17:M17)</f>
        <v>#DIV/0!</v>
      </c>
    </row>
    <row r="18" spans="1:1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2"/>
      <c r="O18" s="12"/>
    </row>
    <row r="19" spans="1:16" x14ac:dyDescent="0.25">
      <c r="A19" s="24" t="s">
        <v>51</v>
      </c>
      <c r="B19" s="36">
        <f>B15+B10</f>
        <v>3844545</v>
      </c>
      <c r="C19" s="36">
        <f>C15+C10</f>
        <v>5186640</v>
      </c>
      <c r="D19" s="36">
        <f t="shared" ref="D19:L19" si="5">D15+D10</f>
        <v>3527275</v>
      </c>
      <c r="E19" s="36">
        <f t="shared" si="5"/>
        <v>4742992</v>
      </c>
      <c r="F19" s="36">
        <f t="shared" si="5"/>
        <v>4726765</v>
      </c>
      <c r="G19" s="36">
        <f t="shared" si="5"/>
        <v>3928192</v>
      </c>
      <c r="H19" s="36">
        <f t="shared" si="5"/>
        <v>3395207</v>
      </c>
      <c r="I19" s="36">
        <f t="shared" si="5"/>
        <v>3103370</v>
      </c>
      <c r="J19" s="36">
        <f t="shared" si="5"/>
        <v>3401993</v>
      </c>
      <c r="K19" s="36">
        <f t="shared" si="5"/>
        <v>4204422</v>
      </c>
      <c r="L19" s="36">
        <f t="shared" si="5"/>
        <v>5481136</v>
      </c>
      <c r="M19" s="25"/>
      <c r="N19" s="26">
        <f>+N10+N15+N17</f>
        <v>45564210.19015792</v>
      </c>
      <c r="O19" s="27" t="e">
        <f>+O10+O15+O17</f>
        <v>#DIV/0!</v>
      </c>
    </row>
    <row r="20" spans="1:1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2"/>
      <c r="O20" s="12"/>
    </row>
    <row r="21" spans="1:16" x14ac:dyDescent="0.25">
      <c r="A21" s="10" t="s">
        <v>52</v>
      </c>
      <c r="B21" s="30"/>
      <c r="C21" s="30"/>
      <c r="D21" s="10"/>
      <c r="E21" s="30"/>
      <c r="F21" s="30"/>
      <c r="G21" s="10"/>
      <c r="H21" s="30"/>
      <c r="I21" s="30"/>
      <c r="J21" s="10"/>
      <c r="K21" s="10"/>
      <c r="L21" s="10"/>
      <c r="M21" s="10"/>
      <c r="N21" s="12">
        <f>SUM(B21:M21)</f>
        <v>0</v>
      </c>
      <c r="O21" s="16" t="e">
        <f>AVERAGE(B21:M21)</f>
        <v>#DIV/0!</v>
      </c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2"/>
      <c r="O22" s="16"/>
    </row>
    <row r="23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2"/>
      <c r="O23" s="12"/>
    </row>
    <row r="24" spans="1:16" x14ac:dyDescent="0.25">
      <c r="A24" s="14" t="s">
        <v>53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2">
        <f>+N19-N21</f>
        <v>45564210.19015792</v>
      </c>
      <c r="O24" s="16" t="e">
        <f>+O19-O21</f>
        <v>#DIV/0!</v>
      </c>
      <c r="P24" s="21"/>
    </row>
    <row r="25" spans="1:16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5"/>
      <c r="K25" s="14"/>
      <c r="L25" s="14"/>
      <c r="M25" s="14"/>
      <c r="N25" s="12"/>
      <c r="O25" s="16"/>
    </row>
    <row r="26" spans="1:16" x14ac:dyDescent="0.25">
      <c r="A26" s="10"/>
      <c r="B26" s="10"/>
      <c r="C26" s="10"/>
      <c r="D26" s="10"/>
      <c r="E26" s="10"/>
      <c r="F26" s="10"/>
      <c r="G26" s="10"/>
      <c r="H26" s="14"/>
      <c r="I26" s="14"/>
      <c r="J26" s="14"/>
      <c r="K26" s="14"/>
      <c r="L26" s="14"/>
      <c r="M26" s="14"/>
      <c r="N26" s="12"/>
      <c r="O26" s="16"/>
    </row>
    <row r="27" spans="1:16" x14ac:dyDescent="0.25">
      <c r="A27" s="10" t="s">
        <v>51</v>
      </c>
      <c r="B27" s="15">
        <f>B19</f>
        <v>3844545</v>
      </c>
      <c r="C27" s="15">
        <f t="shared" ref="C27:L27" si="6">C19</f>
        <v>5186640</v>
      </c>
      <c r="D27" s="15">
        <f t="shared" si="6"/>
        <v>3527275</v>
      </c>
      <c r="E27" s="15">
        <f t="shared" si="6"/>
        <v>4742992</v>
      </c>
      <c r="F27" s="15">
        <f t="shared" si="6"/>
        <v>4726765</v>
      </c>
      <c r="G27" s="15">
        <f t="shared" si="6"/>
        <v>3928192</v>
      </c>
      <c r="H27" s="15">
        <f t="shared" si="6"/>
        <v>3395207</v>
      </c>
      <c r="I27" s="15">
        <f t="shared" si="6"/>
        <v>3103370</v>
      </c>
      <c r="J27" s="15">
        <f t="shared" si="6"/>
        <v>3401993</v>
      </c>
      <c r="K27" s="15">
        <f t="shared" si="6"/>
        <v>4204422</v>
      </c>
      <c r="L27" s="15">
        <f t="shared" si="6"/>
        <v>5481136</v>
      </c>
      <c r="M27" s="15"/>
      <c r="N27" s="16">
        <f>SUM(B27:M27)</f>
        <v>45542537</v>
      </c>
      <c r="O27" s="16">
        <f>AVERAGE(B27:M27)</f>
        <v>4140230.6363636362</v>
      </c>
    </row>
    <row r="28" spans="1:16" x14ac:dyDescent="0.25">
      <c r="A28" s="10"/>
      <c r="B28" s="10"/>
      <c r="C28" s="10"/>
      <c r="D28" s="10"/>
      <c r="E28" s="10"/>
      <c r="F28" s="10"/>
      <c r="G28" s="10"/>
      <c r="H28" s="14"/>
      <c r="I28" s="14"/>
      <c r="J28" s="14"/>
      <c r="K28" s="14"/>
      <c r="L28" s="14"/>
      <c r="M28" s="14"/>
      <c r="N28" s="12"/>
      <c r="O28" s="16"/>
    </row>
    <row r="29" spans="1:16" x14ac:dyDescent="0.25">
      <c r="A29" s="14" t="s">
        <v>54</v>
      </c>
      <c r="B29" s="15">
        <f>(B27/B3)</f>
        <v>10533</v>
      </c>
      <c r="C29" s="15">
        <f t="shared" ref="C29:M29" si="7">(C27/C3)</f>
        <v>12349.142857142857</v>
      </c>
      <c r="D29" s="15">
        <f t="shared" si="7"/>
        <v>5554.7637795275587</v>
      </c>
      <c r="E29" s="15">
        <f t="shared" si="7"/>
        <v>4508.5475285171105</v>
      </c>
      <c r="F29" s="15">
        <f t="shared" si="7"/>
        <v>6981.9276218611521</v>
      </c>
      <c r="G29" s="15">
        <f t="shared" si="7"/>
        <v>4567.6651162790695</v>
      </c>
      <c r="H29" s="15">
        <f t="shared" si="7"/>
        <v>5305.0109375000002</v>
      </c>
      <c r="I29" s="15">
        <f t="shared" si="7"/>
        <v>3600.197215777262</v>
      </c>
      <c r="J29" s="15">
        <f t="shared" si="7"/>
        <v>4464.5577427821527</v>
      </c>
      <c r="K29" s="15">
        <f t="shared" si="7"/>
        <v>5532.1342105263157</v>
      </c>
      <c r="L29" s="15">
        <f t="shared" si="7"/>
        <v>5610.169907881269</v>
      </c>
      <c r="M29" s="15" t="e">
        <f t="shared" si="7"/>
        <v>#DIV/0!</v>
      </c>
      <c r="N29" s="12">
        <f>ROUND(+N27/N3,0)</f>
        <v>5686</v>
      </c>
      <c r="O29" s="16">
        <f>ROUND(+O27/O3,0)</f>
        <v>5686</v>
      </c>
    </row>
    <row r="30" spans="1:1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O30" s="33"/>
    </row>
    <row r="31" spans="1:16" x14ac:dyDescent="0.25">
      <c r="B31" s="21"/>
      <c r="C31" s="21"/>
      <c r="D31" s="21"/>
      <c r="E31" s="21"/>
      <c r="F31" s="2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2020-04-16T10:38:00Z</dcterms:modified>
</cp:coreProperties>
</file>