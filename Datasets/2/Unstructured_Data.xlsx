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1">
      <go:sheetsCustomData xmlns:go="http://customooxmlschemas.google.com/" r:id="rId7" roundtripDataSignature="AMtx7mg57HzrwJxpMkOWn+oQgyKnsQkMRA=="/>
    </ext>
  </extLst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A13">
      <text>
        <t xml:space="preserve">======
ID#AAAAHgKfWZs
Author    (2020-12-21 04:08:23)
a/c 19+20+21</t>
      </text>
    </comment>
    <comment authorId="0" ref="A24">
      <text>
        <t xml:space="preserve">======
ID#AAAAHgKfWZo
Author    (2020-12-21 04:08:23)
maching with EDS excludingmelt loss&amp;alloy diff &amp; hds charge</t>
      </text>
    </comment>
    <comment authorId="0" ref="A6">
      <text>
        <t xml:space="preserve">======
ID#AAAAHgKfWZk
Author    (2020-12-21 04:08:23)
a/c10,26,47 Dir.exp.</t>
      </text>
    </comment>
    <comment authorId="0" ref="A21">
      <text>
        <t xml:space="preserve">======
ID#AAAAHgKfWZg
Author    (2020-12-21 04:08:23)
other mfg exp EDS</t>
      </text>
    </comment>
    <comment authorId="0" ref="A12">
      <text>
        <t xml:space="preserve">======
ID#AAAAHgKfWZc
Author    (2020-12-21 04:08:23)
a/c 08+15+16+17</t>
      </text>
    </comment>
    <comment authorId="0" ref="A8">
      <text>
        <t xml:space="preserve">======
ID#AAAAHgKfWZU
Author    (2020-12-21 04:08:23)
a/c 02</t>
      </text>
    </comment>
    <comment authorId="0" ref="A9">
      <text>
        <t xml:space="preserve">======
ID#AAAAHgKfWZY
Author    (2020-12-21 04:08:23)
j/v 131</t>
      </text>
    </comment>
    <comment authorId="0" ref="A7">
      <text>
        <t xml:space="preserve">======
ID#AAAAHgKfWZQ
Author    (2020-12-21 04:08:23)
a/c 01</t>
      </text>
    </comment>
    <comment authorId="0" ref="A14">
      <text>
        <t xml:space="preserve">======
ID#AAAAHgKfWZM
Author    (2020-12-21 04:08:23)
total fixed cost+a/c 08
-26-47-emp-r&amp;m</t>
      </text>
    </comment>
  </commentList>
  <extLst>
    <ext uri="GoogleSheetsCustomDataVersion1">
      <go:sheetsCustomData xmlns:go="http://customooxmlschemas.google.com/" r:id="rId1" roundtripDataSignature="AMtx7mjLuP0ITxLicg/AFcXWNtRzY0hQaA=="/>
    </ext>
  </extLst>
</comments>
</file>

<file path=xl/sharedStrings.xml><?xml version="1.0" encoding="utf-8"?>
<sst xmlns="http://schemas.openxmlformats.org/spreadsheetml/2006/main" count="80" uniqueCount="62">
  <si>
    <t>S.O.</t>
  </si>
  <si>
    <t>FY 15</t>
  </si>
  <si>
    <t>FY 16</t>
  </si>
  <si>
    <t>Average</t>
  </si>
  <si>
    <t>Cumm.</t>
  </si>
  <si>
    <t>Month</t>
  </si>
  <si>
    <t>Cumm</t>
  </si>
  <si>
    <t>PNG</t>
  </si>
  <si>
    <t>Power</t>
  </si>
  <si>
    <t>HNP</t>
  </si>
  <si>
    <t>Water</t>
  </si>
  <si>
    <t>Acid</t>
  </si>
  <si>
    <t>Boiler Chemical</t>
  </si>
  <si>
    <t>LIME</t>
  </si>
  <si>
    <t>Chemicals</t>
  </si>
  <si>
    <t>Reoiler Chemical</t>
  </si>
  <si>
    <t>Sludge dissposal</t>
  </si>
  <si>
    <t>Water dissposal</t>
  </si>
  <si>
    <t>NTL Operting supply</t>
  </si>
  <si>
    <t>NTL Miss</t>
  </si>
  <si>
    <t>R&amp;M Flt 27</t>
  </si>
  <si>
    <t>Wage</t>
  </si>
  <si>
    <t>OT</t>
  </si>
  <si>
    <t>Boiler RnM Eletrical</t>
  </si>
  <si>
    <t>ETP RnM Eletrical</t>
  </si>
  <si>
    <t>Lighting RnM Eletrical</t>
  </si>
  <si>
    <t>Transformer RnM Eletrical</t>
  </si>
  <si>
    <t>Ventilation RnM Eletrical</t>
  </si>
  <si>
    <t>NTL RnM Eletrical</t>
  </si>
  <si>
    <t>Motors RnM Eletrical</t>
  </si>
  <si>
    <t>EOT RnM Eletrical</t>
  </si>
  <si>
    <t>Instrument</t>
  </si>
  <si>
    <t>Degreasing RnM Mechnical</t>
  </si>
  <si>
    <t>DI Plant RnM Mechnical</t>
  </si>
  <si>
    <t>ETP RnM Mechanical</t>
  </si>
  <si>
    <t>Ventilatioin RnM Mechnical</t>
  </si>
  <si>
    <t>NTL RnM Mechnical</t>
  </si>
  <si>
    <t>Oil RnM Mechnical</t>
  </si>
  <si>
    <t>EOT RnM Mechnical</t>
  </si>
  <si>
    <t>Disele for FLT 27 (17)</t>
  </si>
  <si>
    <t>YTD FY 19</t>
  </si>
  <si>
    <t>Ytd avg</t>
  </si>
  <si>
    <t xml:space="preserve">TL Production </t>
  </si>
  <si>
    <t>Rs.</t>
  </si>
  <si>
    <t>Operating Supplies</t>
  </si>
  <si>
    <t>Gas</t>
  </si>
  <si>
    <t>TOTAL VARIABLE COST</t>
  </si>
  <si>
    <t>Employment Cost</t>
  </si>
  <si>
    <t>R&amp;M</t>
  </si>
  <si>
    <t>Others</t>
  </si>
  <si>
    <t>TOTAL FIXED COST</t>
  </si>
  <si>
    <t>Depreciation</t>
  </si>
  <si>
    <t>Total Expenses</t>
  </si>
  <si>
    <t>Less Abnormal Exp</t>
  </si>
  <si>
    <t>Normal Expenses</t>
  </si>
  <si>
    <t>Rs/T With Freight</t>
  </si>
  <si>
    <t>S.no</t>
  </si>
  <si>
    <t>Items</t>
  </si>
  <si>
    <t>Dates</t>
  </si>
  <si>
    <t>Sales</t>
  </si>
  <si>
    <t>Chairs</t>
  </si>
  <si>
    <t>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</si>
</sst>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mmm\-yy"/>
    <numFmt numFmtId="165" formatCode="[$-409]mmmm\-yy"/>
    <numFmt numFmtId="166" formatCode="0_);\(0\)"/>
    <numFmt numFmtId="167" formatCode="dd/mm/yyyy"/>
  </numFmts>
  <fonts count="8">
    <font>
      <sz val="11.0"/>
      <color theme="1"/>
      <name val="Arial"/>
    </font>
    <font>
      <sz val="11.0"/>
      <color theme="1"/>
      <name val="Calibri"/>
    </font>
    <font/>
    <font>
      <b/>
      <sz val="10.0"/>
      <color theme="1"/>
      <name val="Arial"/>
    </font>
    <font>
      <b/>
      <sz val="10.0"/>
      <color rgb="FF3366FF"/>
      <name val="Arial"/>
    </font>
    <font>
      <sz val="10.0"/>
      <color theme="1"/>
      <name val="Arial"/>
    </font>
    <font>
      <u/>
      <color rgb="FF1155CC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/>
    </xf>
    <xf borderId="3" fillId="0" fontId="2" numFmtId="0" xfId="0" applyBorder="1" applyFont="1"/>
    <xf borderId="1" fillId="0" fontId="1" numFmtId="164" xfId="0" applyBorder="1" applyFont="1" applyNumberFormat="1"/>
    <xf borderId="1" fillId="0" fontId="1" numFmtId="0" xfId="0" applyAlignment="1" applyBorder="1" applyFont="1">
      <alignment horizontal="center"/>
    </xf>
    <xf borderId="1" fillId="0" fontId="1" numFmtId="16" xfId="0" applyBorder="1" applyFont="1" applyNumberFormat="1"/>
    <xf borderId="1" fillId="0" fontId="1" numFmtId="1" xfId="0" applyBorder="1" applyFont="1" applyNumberFormat="1"/>
    <xf borderId="0" fillId="0" fontId="1" numFmtId="1" xfId="0" applyFont="1" applyNumberFormat="1"/>
    <xf borderId="1" fillId="2" fontId="1" numFmtId="1" xfId="0" applyBorder="1" applyFill="1" applyFont="1" applyNumberFormat="1"/>
    <xf borderId="4" fillId="0" fontId="1" numFmtId="1" xfId="0" applyBorder="1" applyFont="1" applyNumberFormat="1"/>
    <xf borderId="0" fillId="0" fontId="1" numFmtId="0" xfId="0" applyFont="1"/>
    <xf borderId="1" fillId="0" fontId="1" numFmtId="0" xfId="0" applyAlignment="1" applyBorder="1" applyFont="1">
      <alignment vertical="center"/>
    </xf>
    <xf borderId="1" fillId="0" fontId="3" numFmtId="17" xfId="0" applyAlignment="1" applyBorder="1" applyFont="1" applyNumberFormat="1">
      <alignment horizontal="center" vertical="center"/>
    </xf>
    <xf borderId="1" fillId="0" fontId="4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1" fillId="0" fontId="3" numFmtId="0" xfId="0" applyAlignment="1" applyBorder="1" applyFont="1">
      <alignment vertical="center"/>
    </xf>
    <xf borderId="1" fillId="0" fontId="3" numFmtId="1" xfId="0" applyAlignment="1" applyBorder="1" applyFont="1" applyNumberFormat="1">
      <alignment vertical="center"/>
    </xf>
    <xf borderId="1" fillId="0" fontId="4" numFmtId="1" xfId="0" applyAlignment="1" applyBorder="1" applyFont="1" applyNumberFormat="1">
      <alignment vertical="center"/>
    </xf>
    <xf borderId="1" fillId="0" fontId="5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 shrinkToFit="0" vertical="center" wrapText="1"/>
    </xf>
    <xf borderId="0" fillId="0" fontId="1" numFmtId="164" xfId="0" applyAlignment="1" applyFont="1" applyNumberFormat="1">
      <alignment vertical="center"/>
    </xf>
    <xf borderId="0" fillId="0" fontId="1" numFmtId="1" xfId="0" applyAlignment="1" applyFont="1" applyNumberFormat="1">
      <alignment vertical="center"/>
    </xf>
    <xf borderId="1" fillId="0" fontId="5" numFmtId="0" xfId="0" applyAlignment="1" applyBorder="1" applyFont="1">
      <alignment vertical="center"/>
    </xf>
    <xf borderId="1" fillId="2" fontId="5" numFmtId="1" xfId="0" applyAlignment="1" applyBorder="1" applyFont="1" applyNumberFormat="1">
      <alignment vertical="center"/>
    </xf>
    <xf borderId="1" fillId="2" fontId="5" numFmtId="0" xfId="0" applyAlignment="1" applyBorder="1" applyFont="1">
      <alignment vertical="center"/>
    </xf>
    <xf borderId="1" fillId="0" fontId="1" numFmtId="1" xfId="0" applyAlignment="1" applyBorder="1" applyFont="1" applyNumberFormat="1">
      <alignment vertical="center"/>
    </xf>
    <xf borderId="1" fillId="2" fontId="3" numFmtId="1" xfId="0" applyAlignment="1" applyBorder="1" applyFont="1" applyNumberFormat="1">
      <alignment vertical="center"/>
    </xf>
    <xf borderId="0" fillId="0" fontId="1" numFmtId="165" xfId="0" applyAlignment="1" applyFont="1" applyNumberFormat="1">
      <alignment vertical="center"/>
    </xf>
    <xf borderId="1" fillId="0" fontId="1" numFmtId="166" xfId="0" applyAlignment="1" applyBorder="1" applyFont="1" applyNumberFormat="1">
      <alignment vertical="center"/>
    </xf>
    <xf borderId="1" fillId="0" fontId="4" numFmtId="166" xfId="0" applyAlignment="1" applyBorder="1" applyFont="1" applyNumberFormat="1">
      <alignment vertical="center"/>
    </xf>
    <xf borderId="0" fillId="0" fontId="3" numFmtId="0" xfId="0" applyAlignment="1" applyFont="1">
      <alignment vertical="center"/>
    </xf>
    <xf borderId="0" fillId="0" fontId="4" numFmtId="0" xfId="0" applyAlignment="1" applyFont="1">
      <alignment vertical="center"/>
    </xf>
    <xf borderId="0" fillId="0" fontId="4" numFmtId="1" xfId="0" applyAlignment="1" applyFont="1" applyNumberFormat="1">
      <alignment vertical="center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167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800">
                <a:solidFill>
                  <a:schemeClr val="lt1"/>
                </a:solidFill>
                <a:latin typeface="+mn-lt"/>
              </a:defRPr>
            </a:pPr>
            <a:r>
              <a:rPr b="0" i="0" sz="1800">
                <a:solidFill>
                  <a:schemeClr val="lt1"/>
                </a:solidFill>
                <a:latin typeface="+mn-lt"/>
              </a:rPr>
              <a:t>NTL COST REPORT(2019-20)</a:t>
            </a:r>
          </a:p>
        </c:rich>
      </c:tx>
      <c:overlay val="0"/>
    </c:title>
    <c:plotArea>
      <c:layout>
        <c:manualLayout>
          <c:xMode val="edge"/>
          <c:yMode val="edge"/>
          <c:x val="0.024572158365261814"/>
          <c:y val="0.22569864102548226"/>
          <c:w val="0.9669135802469137"/>
          <c:h val="0.6356019123931202"/>
        </c:manualLayout>
      </c:layout>
      <c:barChart>
        <c:barDir val="col"/>
        <c:ser>
          <c:idx val="0"/>
          <c:order val="0"/>
          <c:tx>
            <c:v>Production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Sheet2!$B$1:$M$1</c:f>
            </c:strRef>
          </c:cat>
          <c:val>
            <c:numRef>
              <c:f>Sheet2!$B$3:$M$3</c:f>
              <c:numCache/>
            </c:numRef>
          </c:val>
        </c:ser>
        <c:ser>
          <c:idx val="1"/>
          <c:order val="1"/>
          <c:tx>
            <c:v>Cost/Tonnage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Sheet2!$B$1:$M$1</c:f>
            </c:strRef>
          </c:cat>
          <c:val>
            <c:numRef>
              <c:f>Sheet2!$B$29:$M$29</c:f>
              <c:numCache/>
            </c:numRef>
          </c:val>
        </c:ser>
        <c:axId val="2119932119"/>
        <c:axId val="183043682"/>
      </c:barChart>
      <c:catAx>
        <c:axId val="21199321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 sz="1200">
                    <a:solidFill>
                      <a:schemeClr val="lt1"/>
                    </a:solidFill>
                    <a:latin typeface="+mn-lt"/>
                  </a:defRPr>
                </a:pPr>
                <a:r>
                  <a:rPr b="0" i="0" sz="1200">
                    <a:solidFill>
                      <a:schemeClr val="lt1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3043682"/>
      </c:catAx>
      <c:valAx>
        <c:axId val="18304368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200">
                    <a:solidFill>
                      <a:schemeClr val="lt1"/>
                    </a:solidFill>
                    <a:latin typeface="+mn-lt"/>
                  </a:defRPr>
                </a:pPr>
                <a:r>
                  <a:rPr b="0" i="0" sz="1200">
                    <a:solidFill>
                      <a:schemeClr val="lt1"/>
                    </a:solidFill>
                    <a:latin typeface="+mn-lt"/>
                  </a:rPr>
                  <a:t>Prod - Cost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9932119"/>
      </c:valAx>
    </c:plotArea>
    <c:legend>
      <c:legendPos val="t"/>
      <c:overlay val="0"/>
      <c:txPr>
        <a:bodyPr/>
        <a:lstStyle/>
        <a:p>
          <a:pPr lvl="0">
            <a:defRPr b="0" i="0" sz="14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276225</xdr:colOff>
      <xdr:row>30</xdr:row>
      <xdr:rowOff>95250</xdr:rowOff>
    </xdr:from>
    <xdr:ext cx="7458075" cy="3743325"/>
    <xdr:graphicFrame>
      <xdr:nvGraphicFramePr>
        <xdr:cNvPr id="1798391095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1.25"/>
    <col customWidth="1" min="3" max="3" width="7.63"/>
    <col customWidth="1" hidden="1" min="4" max="7" width="7.63"/>
    <col customWidth="1" min="8" max="26" width="7.63"/>
  </cols>
  <sheetData>
    <row r="3">
      <c r="B3" s="1"/>
      <c r="C3" s="1" t="s">
        <v>0</v>
      </c>
      <c r="D3" s="2" t="s">
        <v>1</v>
      </c>
      <c r="E3" s="3"/>
      <c r="F3" s="2" t="s">
        <v>2</v>
      </c>
      <c r="G3" s="3"/>
      <c r="H3" s="4">
        <v>43571.0</v>
      </c>
      <c r="I3" s="4">
        <v>43601.0</v>
      </c>
      <c r="J3" s="4">
        <v>43632.0</v>
      </c>
      <c r="K3" s="4">
        <v>43662.0</v>
      </c>
      <c r="L3" s="4">
        <v>43693.0</v>
      </c>
      <c r="M3" s="4">
        <v>43724.0</v>
      </c>
      <c r="N3" s="4">
        <v>43754.0</v>
      </c>
      <c r="O3" s="4">
        <v>43785.0</v>
      </c>
      <c r="P3" s="4">
        <v>43815.0</v>
      </c>
      <c r="Q3" s="4">
        <v>43846.0</v>
      </c>
      <c r="R3" s="4">
        <v>43877.0</v>
      </c>
      <c r="S3" s="4">
        <v>43906.0</v>
      </c>
      <c r="T3" s="1" t="s">
        <v>3</v>
      </c>
      <c r="U3" s="1" t="s">
        <v>4</v>
      </c>
    </row>
    <row r="4">
      <c r="B4" s="1"/>
      <c r="C4" s="1"/>
      <c r="D4" s="5" t="s">
        <v>5</v>
      </c>
      <c r="E4" s="5" t="s">
        <v>4</v>
      </c>
      <c r="F4" s="5" t="s">
        <v>5</v>
      </c>
      <c r="G4" s="5" t="s">
        <v>6</v>
      </c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6"/>
      <c r="U4" s="6">
        <f t="shared" ref="U4:U38" si="1">SUM(H4:S4)</f>
        <v>0</v>
      </c>
    </row>
    <row r="5">
      <c r="B5" s="1" t="s">
        <v>7</v>
      </c>
      <c r="C5" s="1">
        <v>32120.0</v>
      </c>
      <c r="D5" s="1">
        <f t="shared" ref="D5:D8" si="2">E5/12</f>
        <v>867188.5833</v>
      </c>
      <c r="E5" s="1">
        <v>1.0406263E7</v>
      </c>
      <c r="F5" s="1">
        <f t="shared" ref="F5:F8" si="3">G5/12</f>
        <v>507228.4167</v>
      </c>
      <c r="G5" s="1">
        <v>6086741.0</v>
      </c>
      <c r="H5" s="1">
        <v>191277.0</v>
      </c>
      <c r="I5" s="1">
        <v>195721.0</v>
      </c>
      <c r="J5" s="1">
        <v>261627.0</v>
      </c>
      <c r="K5" s="1">
        <v>515014.0</v>
      </c>
      <c r="L5" s="1">
        <v>483750.0</v>
      </c>
      <c r="M5" s="1">
        <v>449127.0</v>
      </c>
      <c r="N5" s="1">
        <v>217770.0</v>
      </c>
      <c r="O5" s="1">
        <v>344894.0</v>
      </c>
      <c r="P5" s="1">
        <v>172014.0</v>
      </c>
      <c r="Q5" s="1">
        <v>253015.0</v>
      </c>
      <c r="R5" s="1">
        <v>443414.0</v>
      </c>
      <c r="S5" s="1"/>
      <c r="T5" s="7">
        <f t="shared" ref="T5:T38" si="4">AVERAGE(H5:S5)</f>
        <v>320693</v>
      </c>
      <c r="U5" s="1">
        <f t="shared" si="1"/>
        <v>3527623</v>
      </c>
    </row>
    <row r="6">
      <c r="B6" s="1" t="s">
        <v>8</v>
      </c>
      <c r="C6" s="1">
        <v>32016.0</v>
      </c>
      <c r="D6" s="1">
        <f t="shared" si="2"/>
        <v>836059.5</v>
      </c>
      <c r="E6" s="1">
        <v>1.0032714E7</v>
      </c>
      <c r="F6" s="1">
        <f t="shared" si="3"/>
        <v>794021.25</v>
      </c>
      <c r="G6" s="1">
        <v>9528255.0</v>
      </c>
      <c r="H6" s="1">
        <v>731507.0</v>
      </c>
      <c r="I6" s="1">
        <v>792791.0</v>
      </c>
      <c r="J6" s="1">
        <v>1020609.0</v>
      </c>
      <c r="K6" s="7">
        <v>1500634.0</v>
      </c>
      <c r="L6" s="7">
        <v>1174976.0</v>
      </c>
      <c r="M6" s="7">
        <v>1038601.0</v>
      </c>
      <c r="N6" s="7">
        <v>534169.0</v>
      </c>
      <c r="O6" s="7">
        <v>494113.0</v>
      </c>
      <c r="P6" s="1">
        <v>1025753.0</v>
      </c>
      <c r="Q6" s="1">
        <v>1385958.0</v>
      </c>
      <c r="R6" s="1">
        <v>1571598.0</v>
      </c>
      <c r="S6" s="1"/>
      <c r="T6" s="7">
        <f t="shared" si="4"/>
        <v>1024609.909</v>
      </c>
      <c r="U6" s="1">
        <f t="shared" si="1"/>
        <v>11270709</v>
      </c>
    </row>
    <row r="7">
      <c r="B7" s="1" t="s">
        <v>9</v>
      </c>
      <c r="C7" s="1">
        <v>32069.0</v>
      </c>
      <c r="D7" s="1">
        <f t="shared" si="2"/>
        <v>402263.0833</v>
      </c>
      <c r="E7" s="1">
        <v>4827157.0</v>
      </c>
      <c r="F7" s="1">
        <f t="shared" si="3"/>
        <v>313321.1667</v>
      </c>
      <c r="G7" s="1">
        <v>3759854.0</v>
      </c>
      <c r="H7" s="7">
        <v>158996.0</v>
      </c>
      <c r="I7" s="7">
        <v>193533.0</v>
      </c>
      <c r="J7" s="7">
        <v>146071.0</v>
      </c>
      <c r="K7" s="1">
        <v>292259.0</v>
      </c>
      <c r="L7" s="1">
        <v>263028.0</v>
      </c>
      <c r="M7" s="1">
        <v>302065.0</v>
      </c>
      <c r="N7" s="1">
        <v>230409.0</v>
      </c>
      <c r="O7" s="1">
        <v>198718.0</v>
      </c>
      <c r="P7" s="1">
        <v>146882.0</v>
      </c>
      <c r="Q7" s="1">
        <v>260124.0</v>
      </c>
      <c r="R7" s="1">
        <v>304537.0</v>
      </c>
      <c r="S7" s="1"/>
      <c r="T7" s="7">
        <f t="shared" si="4"/>
        <v>226965.6364</v>
      </c>
      <c r="U7" s="7">
        <f t="shared" si="1"/>
        <v>2496622</v>
      </c>
    </row>
    <row r="8">
      <c r="B8" s="1" t="s">
        <v>10</v>
      </c>
      <c r="C8" s="1">
        <v>32102.0</v>
      </c>
      <c r="D8" s="1">
        <f t="shared" si="2"/>
        <v>86724.25</v>
      </c>
      <c r="E8" s="1">
        <v>1040691.0</v>
      </c>
      <c r="F8" s="1">
        <f t="shared" si="3"/>
        <v>74871.25</v>
      </c>
      <c r="G8" s="1">
        <v>898455.0</v>
      </c>
      <c r="H8" s="1">
        <v>67888.0</v>
      </c>
      <c r="I8" s="1">
        <v>67312.0</v>
      </c>
      <c r="J8" s="1">
        <v>65773.0</v>
      </c>
      <c r="K8" s="1">
        <v>62119.0</v>
      </c>
      <c r="L8" s="1">
        <v>74047.0</v>
      </c>
      <c r="M8" s="1">
        <v>52531.0</v>
      </c>
      <c r="N8" s="1">
        <v>55635.0</v>
      </c>
      <c r="O8" s="1">
        <v>62289.0</v>
      </c>
      <c r="P8" s="1">
        <v>62814.0</v>
      </c>
      <c r="Q8" s="1">
        <v>69028.0</v>
      </c>
      <c r="R8" s="1">
        <v>79312.0</v>
      </c>
      <c r="S8" s="1"/>
      <c r="T8" s="7">
        <f t="shared" si="4"/>
        <v>65340.72727</v>
      </c>
      <c r="U8" s="1">
        <f t="shared" si="1"/>
        <v>718748</v>
      </c>
    </row>
    <row r="9">
      <c r="B9" s="1" t="s">
        <v>11</v>
      </c>
      <c r="C9" s="1">
        <v>32103.0</v>
      </c>
      <c r="D9" s="1"/>
      <c r="E9" s="1"/>
      <c r="F9" s="1"/>
      <c r="G9" s="1"/>
      <c r="H9" s="1">
        <v>0.0</v>
      </c>
      <c r="I9" s="1">
        <v>37720.0</v>
      </c>
      <c r="J9" s="1">
        <v>0.0</v>
      </c>
      <c r="K9" s="1">
        <v>34980.0</v>
      </c>
      <c r="L9" s="1">
        <v>35765.0</v>
      </c>
      <c r="M9" s="1">
        <v>37260.0</v>
      </c>
      <c r="N9" s="1">
        <v>0.0</v>
      </c>
      <c r="O9" s="1">
        <v>37376.0</v>
      </c>
      <c r="P9" s="1">
        <v>0.0</v>
      </c>
      <c r="Q9" s="1">
        <v>0.0</v>
      </c>
      <c r="R9" s="1">
        <v>88921.0</v>
      </c>
      <c r="S9" s="1"/>
      <c r="T9" s="7">
        <f t="shared" si="4"/>
        <v>24729.27273</v>
      </c>
      <c r="U9" s="1">
        <f t="shared" si="1"/>
        <v>272022</v>
      </c>
    </row>
    <row r="10">
      <c r="B10" s="1" t="s">
        <v>12</v>
      </c>
      <c r="C10" s="1">
        <v>32104.0</v>
      </c>
      <c r="D10" s="1">
        <f t="shared" ref="D10:D14" si="5">E10/12</f>
        <v>3607.083333</v>
      </c>
      <c r="E10" s="1">
        <v>43285.0</v>
      </c>
      <c r="F10" s="1">
        <f t="shared" ref="F10:F14" si="6">G10/12</f>
        <v>13525.33333</v>
      </c>
      <c r="G10" s="1">
        <v>162304.0</v>
      </c>
      <c r="H10" s="1">
        <v>0.0</v>
      </c>
      <c r="I10" s="1">
        <v>0.0</v>
      </c>
      <c r="J10" s="7">
        <v>0.0</v>
      </c>
      <c r="K10" s="7">
        <v>0.0</v>
      </c>
      <c r="L10" s="7">
        <v>0.0</v>
      </c>
      <c r="M10" s="7">
        <v>0.0</v>
      </c>
      <c r="N10" s="7">
        <v>0.0</v>
      </c>
      <c r="O10" s="7">
        <v>0.0</v>
      </c>
      <c r="P10" s="1">
        <v>0.0</v>
      </c>
      <c r="Q10" s="1">
        <v>0.0</v>
      </c>
      <c r="R10" s="1">
        <v>0.0</v>
      </c>
      <c r="S10" s="1"/>
      <c r="T10" s="7">
        <f t="shared" si="4"/>
        <v>0</v>
      </c>
      <c r="U10" s="1">
        <f t="shared" si="1"/>
        <v>0</v>
      </c>
    </row>
    <row r="11">
      <c r="B11" s="1" t="s">
        <v>13</v>
      </c>
      <c r="C11" s="1">
        <v>32105.0</v>
      </c>
      <c r="D11" s="1">
        <f t="shared" si="5"/>
        <v>25955.58333</v>
      </c>
      <c r="E11" s="1">
        <v>311467.0</v>
      </c>
      <c r="F11" s="1">
        <f t="shared" si="6"/>
        <v>13525.33333</v>
      </c>
      <c r="G11" s="1">
        <v>162304.0</v>
      </c>
      <c r="H11" s="7">
        <v>0.0</v>
      </c>
      <c r="I11" s="7">
        <v>0.0</v>
      </c>
      <c r="J11" s="7">
        <v>0.0</v>
      </c>
      <c r="K11" s="7">
        <v>33892.0</v>
      </c>
      <c r="L11" s="7">
        <v>34351.0</v>
      </c>
      <c r="M11" s="7">
        <v>0.0</v>
      </c>
      <c r="N11" s="7">
        <v>68701.0</v>
      </c>
      <c r="O11" s="7">
        <v>0.0</v>
      </c>
      <c r="P11" s="7">
        <v>0.0</v>
      </c>
      <c r="Q11" s="7">
        <v>0.0</v>
      </c>
      <c r="R11" s="7">
        <v>0.0</v>
      </c>
      <c r="S11" s="7"/>
      <c r="T11" s="7">
        <f t="shared" si="4"/>
        <v>12449.45455</v>
      </c>
      <c r="U11" s="7">
        <f t="shared" si="1"/>
        <v>136944</v>
      </c>
    </row>
    <row r="12">
      <c r="B12" s="1" t="s">
        <v>14</v>
      </c>
      <c r="C12" s="1">
        <v>32106.0</v>
      </c>
      <c r="D12" s="1">
        <f t="shared" si="5"/>
        <v>1444.166667</v>
      </c>
      <c r="E12" s="1">
        <v>17330.0</v>
      </c>
      <c r="F12" s="1">
        <f t="shared" si="6"/>
        <v>4115</v>
      </c>
      <c r="G12" s="1">
        <v>49380.0</v>
      </c>
      <c r="H12" s="7">
        <v>127654.0</v>
      </c>
      <c r="I12" s="7">
        <v>80080.0</v>
      </c>
      <c r="J12" s="7">
        <v>56205.0</v>
      </c>
      <c r="K12" s="7">
        <v>111446.0</v>
      </c>
      <c r="L12" s="7">
        <v>112426.0</v>
      </c>
      <c r="M12" s="7">
        <v>109000.0</v>
      </c>
      <c r="N12" s="7">
        <v>114410.0</v>
      </c>
      <c r="O12" s="7">
        <v>34973.0</v>
      </c>
      <c r="P12" s="7">
        <v>210704.0</v>
      </c>
      <c r="Q12" s="7">
        <v>13320.0</v>
      </c>
      <c r="R12" s="7">
        <v>110000.0</v>
      </c>
      <c r="S12" s="7"/>
      <c r="T12" s="7">
        <f t="shared" si="4"/>
        <v>98201.63636</v>
      </c>
      <c r="U12" s="7">
        <f t="shared" si="1"/>
        <v>1080218</v>
      </c>
    </row>
    <row r="13">
      <c r="B13" s="1" t="s">
        <v>15</v>
      </c>
      <c r="C13" s="1">
        <v>32107.0</v>
      </c>
      <c r="D13" s="1">
        <f t="shared" si="5"/>
        <v>27498.91667</v>
      </c>
      <c r="E13" s="1">
        <v>329987.0</v>
      </c>
      <c r="F13" s="1">
        <f t="shared" si="6"/>
        <v>36697.91667</v>
      </c>
      <c r="G13" s="1">
        <v>440375.0</v>
      </c>
      <c r="H13" s="7">
        <v>0.0</v>
      </c>
      <c r="I13" s="7">
        <v>0.0</v>
      </c>
      <c r="J13" s="7">
        <v>0.0</v>
      </c>
      <c r="K13" s="7">
        <v>0.0</v>
      </c>
      <c r="L13" s="7">
        <v>0.0</v>
      </c>
      <c r="M13" s="7">
        <v>0.0</v>
      </c>
      <c r="N13" s="7">
        <v>0.0</v>
      </c>
      <c r="O13" s="7">
        <v>0.0</v>
      </c>
      <c r="P13" s="7">
        <v>0.0</v>
      </c>
      <c r="Q13" s="7">
        <v>0.0</v>
      </c>
      <c r="R13" s="7">
        <v>0.0</v>
      </c>
      <c r="S13" s="7"/>
      <c r="T13" s="7">
        <f t="shared" si="4"/>
        <v>0</v>
      </c>
      <c r="U13" s="7">
        <f t="shared" si="1"/>
        <v>0</v>
      </c>
      <c r="X13" s="8"/>
    </row>
    <row r="14">
      <c r="B14" s="1" t="s">
        <v>16</v>
      </c>
      <c r="C14" s="1">
        <v>32108.0</v>
      </c>
      <c r="D14" s="1">
        <f t="shared" si="5"/>
        <v>1681.166667</v>
      </c>
      <c r="E14" s="1">
        <v>20174.0</v>
      </c>
      <c r="F14" s="1">
        <f t="shared" si="6"/>
        <v>1197.25</v>
      </c>
      <c r="G14" s="1">
        <v>14367.0</v>
      </c>
      <c r="H14" s="7">
        <v>0.0</v>
      </c>
      <c r="I14" s="7">
        <v>0.0</v>
      </c>
      <c r="J14" s="7">
        <v>0.0</v>
      </c>
      <c r="K14" s="7">
        <v>0.0</v>
      </c>
      <c r="L14" s="7">
        <v>0.0</v>
      </c>
      <c r="M14" s="7">
        <v>0.0</v>
      </c>
      <c r="N14" s="7">
        <v>0.0</v>
      </c>
      <c r="O14" s="7">
        <v>0.0</v>
      </c>
      <c r="P14" s="7">
        <v>0.0</v>
      </c>
      <c r="Q14" s="7">
        <v>0.0</v>
      </c>
      <c r="R14" s="7">
        <v>0.0</v>
      </c>
      <c r="S14" s="7"/>
      <c r="T14" s="7">
        <f t="shared" si="4"/>
        <v>0</v>
      </c>
      <c r="U14" s="7">
        <f t="shared" si="1"/>
        <v>0</v>
      </c>
    </row>
    <row r="15">
      <c r="B15" s="1" t="s">
        <v>17</v>
      </c>
      <c r="C15" s="1">
        <v>32109.0</v>
      </c>
      <c r="D15" s="1"/>
      <c r="E15" s="1"/>
      <c r="F15" s="1"/>
      <c r="G15" s="1"/>
      <c r="H15" s="7">
        <v>0.0</v>
      </c>
      <c r="I15" s="7">
        <v>0.0</v>
      </c>
      <c r="J15" s="7">
        <v>0.0</v>
      </c>
      <c r="K15" s="7">
        <v>0.0</v>
      </c>
      <c r="L15" s="7">
        <v>0.0</v>
      </c>
      <c r="M15" s="7">
        <v>0.0</v>
      </c>
      <c r="N15" s="7">
        <v>0.0</v>
      </c>
      <c r="O15" s="7">
        <v>0.0</v>
      </c>
      <c r="P15" s="7">
        <v>0.0</v>
      </c>
      <c r="Q15" s="7">
        <v>0.0</v>
      </c>
      <c r="R15" s="7">
        <v>0.0</v>
      </c>
      <c r="S15" s="7"/>
      <c r="T15" s="7">
        <f t="shared" si="4"/>
        <v>0</v>
      </c>
      <c r="U15" s="7">
        <f t="shared" si="1"/>
        <v>0</v>
      </c>
    </row>
    <row r="16">
      <c r="B16" s="1" t="s">
        <v>18</v>
      </c>
      <c r="C16" s="1">
        <v>32110.0</v>
      </c>
      <c r="D16" s="1">
        <f t="shared" ref="D16:D37" si="7">E16/12</f>
        <v>745765.5833</v>
      </c>
      <c r="E16" s="1">
        <v>8949187.0</v>
      </c>
      <c r="F16" s="1">
        <f t="shared" ref="F16:F37" si="8">G16/12</f>
        <v>740206.9167</v>
      </c>
      <c r="G16" s="1">
        <v>8882483.0</v>
      </c>
      <c r="H16" s="7">
        <v>1019070.0</v>
      </c>
      <c r="I16" s="7">
        <v>1983679.0</v>
      </c>
      <c r="J16" s="7">
        <v>300438.0</v>
      </c>
      <c r="K16" s="7">
        <v>270466.0</v>
      </c>
      <c r="L16" s="7">
        <v>319384.0</v>
      </c>
      <c r="M16" s="7">
        <v>169657.0</v>
      </c>
      <c r="N16" s="7">
        <v>166615.0</v>
      </c>
      <c r="O16" s="7">
        <v>255000.0</v>
      </c>
      <c r="P16" s="7">
        <v>18641.0</v>
      </c>
      <c r="Q16" s="7">
        <v>327393.0</v>
      </c>
      <c r="R16" s="7">
        <v>1001639.0</v>
      </c>
      <c r="S16" s="7"/>
      <c r="T16" s="7">
        <f t="shared" si="4"/>
        <v>530180.1818</v>
      </c>
      <c r="U16" s="7">
        <f t="shared" si="1"/>
        <v>5831982</v>
      </c>
    </row>
    <row r="17">
      <c r="B17" s="1" t="s">
        <v>19</v>
      </c>
      <c r="C17" s="1">
        <v>32111.0</v>
      </c>
      <c r="D17" s="1">
        <f t="shared" si="7"/>
        <v>358969.75</v>
      </c>
      <c r="E17" s="1">
        <v>4307637.0</v>
      </c>
      <c r="F17" s="1">
        <f t="shared" si="8"/>
        <v>273215.1667</v>
      </c>
      <c r="G17" s="1">
        <v>3278582.0</v>
      </c>
      <c r="H17" s="7">
        <v>175787.0</v>
      </c>
      <c r="I17" s="7">
        <v>218300.0</v>
      </c>
      <c r="J17" s="7">
        <v>303780.0</v>
      </c>
      <c r="K17" s="7">
        <v>277427.0</v>
      </c>
      <c r="L17" s="7">
        <v>640977.0</v>
      </c>
      <c r="M17" s="7">
        <v>196780.0</v>
      </c>
      <c r="N17" s="9">
        <v>29507.0</v>
      </c>
      <c r="O17" s="7">
        <v>76826.0</v>
      </c>
      <c r="P17" s="7">
        <v>204102.0</v>
      </c>
      <c r="Q17" s="7">
        <v>83573.0</v>
      </c>
      <c r="R17" s="7">
        <v>108330.0</v>
      </c>
      <c r="S17" s="7"/>
      <c r="T17" s="7">
        <f t="shared" si="4"/>
        <v>210489.9091</v>
      </c>
      <c r="U17" s="7">
        <f t="shared" si="1"/>
        <v>2315389</v>
      </c>
      <c r="X17" s="8"/>
    </row>
    <row r="18">
      <c r="B18" s="1" t="s">
        <v>20</v>
      </c>
      <c r="C18" s="1">
        <v>32569.0</v>
      </c>
      <c r="D18" s="1">
        <f t="shared" si="7"/>
        <v>3812.083333</v>
      </c>
      <c r="E18" s="1">
        <v>45745.0</v>
      </c>
      <c r="F18" s="1">
        <f t="shared" si="8"/>
        <v>17892</v>
      </c>
      <c r="G18" s="1">
        <v>214704.0</v>
      </c>
      <c r="H18" s="7">
        <v>0.0</v>
      </c>
      <c r="I18" s="7">
        <v>0.0</v>
      </c>
      <c r="J18" s="7">
        <v>0.0</v>
      </c>
      <c r="K18" s="7">
        <v>6846.0</v>
      </c>
      <c r="L18" s="7">
        <v>0.0</v>
      </c>
      <c r="M18" s="7">
        <v>0.0</v>
      </c>
      <c r="N18" s="7">
        <v>0.0</v>
      </c>
      <c r="O18" s="7">
        <v>0.0</v>
      </c>
      <c r="P18" s="7">
        <v>0.0</v>
      </c>
      <c r="Q18" s="7">
        <v>0.0</v>
      </c>
      <c r="R18" s="7">
        <v>0.0</v>
      </c>
      <c r="S18" s="7"/>
      <c r="T18" s="7">
        <f t="shared" si="4"/>
        <v>622.3636364</v>
      </c>
      <c r="U18" s="7">
        <f t="shared" si="1"/>
        <v>6846</v>
      </c>
    </row>
    <row r="19">
      <c r="B19" s="1" t="s">
        <v>21</v>
      </c>
      <c r="C19" s="1">
        <v>32141.0</v>
      </c>
      <c r="D19" s="1">
        <f t="shared" si="7"/>
        <v>890381.5833</v>
      </c>
      <c r="E19" s="1">
        <v>1.0684579E7</v>
      </c>
      <c r="F19" s="1">
        <f t="shared" si="8"/>
        <v>957392</v>
      </c>
      <c r="G19" s="1">
        <v>1.1488704E7</v>
      </c>
      <c r="H19" s="7">
        <v>1107770.0</v>
      </c>
      <c r="I19" s="7">
        <v>1219812.0</v>
      </c>
      <c r="J19" s="7">
        <v>1145879.0</v>
      </c>
      <c r="K19" s="10">
        <v>1121937.0</v>
      </c>
      <c r="L19" s="1">
        <v>1225712.0</v>
      </c>
      <c r="M19" s="1">
        <v>1167862.0</v>
      </c>
      <c r="N19" s="1">
        <v>1203699.0</v>
      </c>
      <c r="O19" s="11">
        <v>1163296.0</v>
      </c>
      <c r="P19" s="7">
        <v>1104126.0</v>
      </c>
      <c r="Q19" s="7">
        <v>1474469.0</v>
      </c>
      <c r="R19" s="7">
        <v>1241859.0</v>
      </c>
      <c r="S19" s="7"/>
      <c r="T19" s="7">
        <f t="shared" si="4"/>
        <v>1197856.455</v>
      </c>
      <c r="U19" s="7">
        <f t="shared" si="1"/>
        <v>13176421</v>
      </c>
    </row>
    <row r="20">
      <c r="B20" s="1" t="s">
        <v>22</v>
      </c>
      <c r="C20" s="1">
        <v>32049.0</v>
      </c>
      <c r="D20" s="1">
        <f t="shared" si="7"/>
        <v>161374.6667</v>
      </c>
      <c r="E20" s="1">
        <v>1936496.0</v>
      </c>
      <c r="F20" s="1">
        <f t="shared" si="8"/>
        <v>169641.1667</v>
      </c>
      <c r="G20" s="1">
        <v>2035694.0</v>
      </c>
      <c r="H20" s="7">
        <v>124471.0</v>
      </c>
      <c r="I20" s="7">
        <v>166720.0</v>
      </c>
      <c r="J20" s="7">
        <v>150077.0</v>
      </c>
      <c r="K20" s="7">
        <v>177415.0</v>
      </c>
      <c r="L20" s="7">
        <v>130564.0</v>
      </c>
      <c r="M20" s="7">
        <v>212443.0</v>
      </c>
      <c r="N20" s="7">
        <v>134695.0</v>
      </c>
      <c r="O20" s="7">
        <v>191305.0</v>
      </c>
      <c r="P20" s="7">
        <v>165967.0</v>
      </c>
      <c r="Q20" s="7">
        <v>186513.0</v>
      </c>
      <c r="R20" s="7">
        <v>234587.0</v>
      </c>
      <c r="S20" s="7"/>
      <c r="T20" s="7">
        <f t="shared" si="4"/>
        <v>170432.4545</v>
      </c>
      <c r="U20" s="7">
        <f t="shared" si="1"/>
        <v>1874757</v>
      </c>
    </row>
    <row r="21" ht="15.75" customHeight="1">
      <c r="B21" s="1" t="s">
        <v>23</v>
      </c>
      <c r="C21" s="1">
        <v>32401.0</v>
      </c>
      <c r="D21" s="1">
        <f t="shared" si="7"/>
        <v>1516.166667</v>
      </c>
      <c r="E21" s="1">
        <v>18194.0</v>
      </c>
      <c r="F21" s="1">
        <f t="shared" si="8"/>
        <v>5868.25</v>
      </c>
      <c r="G21" s="1">
        <v>70419.0</v>
      </c>
      <c r="H21" s="7">
        <v>0.0</v>
      </c>
      <c r="I21" s="7">
        <v>0.0</v>
      </c>
      <c r="J21" s="7">
        <v>0.0</v>
      </c>
      <c r="K21" s="7">
        <v>0.0</v>
      </c>
      <c r="L21" s="7">
        <v>0.0</v>
      </c>
      <c r="M21" s="7">
        <v>0.0</v>
      </c>
      <c r="N21" s="7">
        <v>0.0</v>
      </c>
      <c r="O21" s="7">
        <v>0.0</v>
      </c>
      <c r="P21" s="7">
        <v>0.0</v>
      </c>
      <c r="Q21" s="7">
        <v>0.0</v>
      </c>
      <c r="R21" s="7">
        <v>0.0</v>
      </c>
      <c r="S21" s="7"/>
      <c r="T21" s="7">
        <f t="shared" si="4"/>
        <v>0</v>
      </c>
      <c r="U21" s="7">
        <f t="shared" si="1"/>
        <v>0</v>
      </c>
    </row>
    <row r="22" ht="15.75" customHeight="1">
      <c r="B22" s="1" t="s">
        <v>24</v>
      </c>
      <c r="C22" s="1">
        <v>32402.0</v>
      </c>
      <c r="D22" s="1">
        <f t="shared" si="7"/>
        <v>3632.25</v>
      </c>
      <c r="E22" s="1">
        <v>43587.0</v>
      </c>
      <c r="F22" s="1">
        <f t="shared" si="8"/>
        <v>7425.083333</v>
      </c>
      <c r="G22" s="1">
        <v>89101.0</v>
      </c>
      <c r="H22" s="7">
        <v>195.0</v>
      </c>
      <c r="I22" s="7">
        <v>0.0</v>
      </c>
      <c r="J22" s="7">
        <v>0.0</v>
      </c>
      <c r="K22" s="7">
        <v>0.0</v>
      </c>
      <c r="L22" s="7">
        <v>0.0</v>
      </c>
      <c r="M22" s="7">
        <v>0.0</v>
      </c>
      <c r="N22" s="7">
        <v>0.0</v>
      </c>
      <c r="O22" s="7">
        <v>0.0</v>
      </c>
      <c r="P22" s="7">
        <v>0.0</v>
      </c>
      <c r="Q22" s="7">
        <v>2711.0</v>
      </c>
      <c r="R22" s="7">
        <v>0.0</v>
      </c>
      <c r="S22" s="7"/>
      <c r="T22" s="7">
        <f t="shared" si="4"/>
        <v>264.1818182</v>
      </c>
      <c r="U22" s="7">
        <f t="shared" si="1"/>
        <v>2906</v>
      </c>
    </row>
    <row r="23" ht="15.75" customHeight="1">
      <c r="B23" s="1" t="s">
        <v>25</v>
      </c>
      <c r="C23" s="1">
        <v>32403.0</v>
      </c>
      <c r="D23" s="1">
        <f t="shared" si="7"/>
        <v>486.8333333</v>
      </c>
      <c r="E23" s="1">
        <v>5842.0</v>
      </c>
      <c r="F23" s="1">
        <f t="shared" si="8"/>
        <v>126.1666667</v>
      </c>
      <c r="G23" s="1">
        <v>1514.0</v>
      </c>
      <c r="H23" s="7">
        <v>0.0</v>
      </c>
      <c r="I23" s="7">
        <v>0.0</v>
      </c>
      <c r="J23" s="7">
        <v>0.0</v>
      </c>
      <c r="K23" s="7">
        <v>0.0</v>
      </c>
      <c r="L23" s="7">
        <v>0.0</v>
      </c>
      <c r="M23" s="7">
        <v>0.0</v>
      </c>
      <c r="N23" s="7">
        <v>0.0</v>
      </c>
      <c r="O23" s="7">
        <v>0.0</v>
      </c>
      <c r="P23" s="7">
        <v>0.0</v>
      </c>
      <c r="Q23" s="7">
        <v>1317.0</v>
      </c>
      <c r="R23" s="7">
        <v>0.0</v>
      </c>
      <c r="S23" s="7"/>
      <c r="T23" s="7">
        <f t="shared" si="4"/>
        <v>119.7272727</v>
      </c>
      <c r="U23" s="7">
        <f t="shared" si="1"/>
        <v>1317</v>
      </c>
    </row>
    <row r="24" ht="15.75" customHeight="1">
      <c r="B24" s="1" t="s">
        <v>26</v>
      </c>
      <c r="C24" s="1">
        <v>32404.0</v>
      </c>
      <c r="D24" s="1">
        <f t="shared" si="7"/>
        <v>3133.833333</v>
      </c>
      <c r="E24" s="1">
        <v>37606.0</v>
      </c>
      <c r="F24" s="1">
        <f t="shared" si="8"/>
        <v>0</v>
      </c>
      <c r="G24" s="1">
        <v>0.0</v>
      </c>
      <c r="H24" s="7">
        <v>0.0</v>
      </c>
      <c r="I24" s="7">
        <v>0.0</v>
      </c>
      <c r="J24" s="7">
        <v>0.0</v>
      </c>
      <c r="K24" s="7">
        <v>0.0</v>
      </c>
      <c r="L24" s="7">
        <v>0.0</v>
      </c>
      <c r="M24" s="7">
        <v>0.0</v>
      </c>
      <c r="N24" s="7">
        <v>0.0</v>
      </c>
      <c r="O24" s="7">
        <v>0.0</v>
      </c>
      <c r="P24" s="7">
        <v>0.0</v>
      </c>
      <c r="Q24" s="7">
        <v>0.0</v>
      </c>
      <c r="R24" s="7">
        <v>0.0</v>
      </c>
      <c r="S24" s="7"/>
      <c r="T24" s="7">
        <f t="shared" si="4"/>
        <v>0</v>
      </c>
      <c r="U24" s="7">
        <f t="shared" si="1"/>
        <v>0</v>
      </c>
    </row>
    <row r="25" ht="15.75" customHeight="1">
      <c r="B25" s="1" t="s">
        <v>27</v>
      </c>
      <c r="C25" s="1">
        <v>32405.0</v>
      </c>
      <c r="D25" s="1">
        <f t="shared" si="7"/>
        <v>679.9166667</v>
      </c>
      <c r="E25" s="1">
        <v>8159.0</v>
      </c>
      <c r="F25" s="1">
        <f t="shared" si="8"/>
        <v>0</v>
      </c>
      <c r="G25" s="1">
        <v>0.0</v>
      </c>
      <c r="H25" s="7">
        <v>0.0</v>
      </c>
      <c r="I25" s="7">
        <v>0.0</v>
      </c>
      <c r="J25" s="7">
        <v>0.0</v>
      </c>
      <c r="K25" s="7">
        <v>0.0</v>
      </c>
      <c r="L25" s="7">
        <v>0.0</v>
      </c>
      <c r="M25" s="7">
        <v>0.0</v>
      </c>
      <c r="N25" s="7">
        <v>0.0</v>
      </c>
      <c r="O25" s="7">
        <v>0.0</v>
      </c>
      <c r="P25" s="7">
        <v>0.0</v>
      </c>
      <c r="Q25" s="7">
        <v>0.0</v>
      </c>
      <c r="R25" s="7">
        <v>0.0</v>
      </c>
      <c r="S25" s="7"/>
      <c r="T25" s="7">
        <f t="shared" si="4"/>
        <v>0</v>
      </c>
      <c r="U25" s="7">
        <f t="shared" si="1"/>
        <v>0</v>
      </c>
    </row>
    <row r="26" ht="15.75" customHeight="1">
      <c r="B26" s="1" t="s">
        <v>28</v>
      </c>
      <c r="C26" s="1">
        <v>32413.0</v>
      </c>
      <c r="D26" s="1">
        <f t="shared" si="7"/>
        <v>57416.25</v>
      </c>
      <c r="E26" s="1">
        <v>688995.0</v>
      </c>
      <c r="F26" s="1">
        <f t="shared" si="8"/>
        <v>321699.5</v>
      </c>
      <c r="G26" s="1">
        <v>3860394.0</v>
      </c>
      <c r="H26" s="7">
        <v>7756.0</v>
      </c>
      <c r="I26" s="7">
        <v>80285.0</v>
      </c>
      <c r="J26" s="7">
        <v>46996.0</v>
      </c>
      <c r="K26" s="7">
        <v>94954.0</v>
      </c>
      <c r="L26" s="7">
        <v>22309.0</v>
      </c>
      <c r="M26" s="7">
        <v>46288.0</v>
      </c>
      <c r="N26" s="7">
        <v>20358.0</v>
      </c>
      <c r="O26" s="7">
        <v>84506.0</v>
      </c>
      <c r="P26" s="7">
        <v>52721.0</v>
      </c>
      <c r="Q26" s="7">
        <v>1403.0</v>
      </c>
      <c r="R26" s="7">
        <v>10762.0</v>
      </c>
      <c r="S26" s="7"/>
      <c r="T26" s="7">
        <f t="shared" si="4"/>
        <v>42576.18182</v>
      </c>
      <c r="U26" s="7">
        <f t="shared" si="1"/>
        <v>468338</v>
      </c>
    </row>
    <row r="27" ht="15.75" customHeight="1">
      <c r="B27" s="1" t="s">
        <v>29</v>
      </c>
      <c r="C27" s="1">
        <v>32414.0</v>
      </c>
      <c r="D27" s="1">
        <f t="shared" si="7"/>
        <v>3920.083333</v>
      </c>
      <c r="E27" s="1">
        <v>47041.0</v>
      </c>
      <c r="F27" s="1">
        <f t="shared" si="8"/>
        <v>3235.416667</v>
      </c>
      <c r="G27" s="1">
        <v>38825.0</v>
      </c>
      <c r="H27" s="7">
        <v>0.0</v>
      </c>
      <c r="I27" s="7">
        <v>0.0</v>
      </c>
      <c r="J27" s="7">
        <v>0.0</v>
      </c>
      <c r="K27" s="7">
        <v>0.0</v>
      </c>
      <c r="L27" s="7">
        <v>0.0</v>
      </c>
      <c r="M27" s="7">
        <v>0.0</v>
      </c>
      <c r="N27" s="7">
        <v>0.0</v>
      </c>
      <c r="O27" s="7">
        <v>0.0</v>
      </c>
      <c r="P27" s="7">
        <v>16415.0</v>
      </c>
      <c r="Q27" s="7">
        <v>8649.0</v>
      </c>
      <c r="R27" s="7">
        <v>12123.0</v>
      </c>
      <c r="S27" s="7"/>
      <c r="T27" s="7">
        <f t="shared" si="4"/>
        <v>3380.636364</v>
      </c>
      <c r="U27" s="7">
        <f t="shared" si="1"/>
        <v>37187</v>
      </c>
    </row>
    <row r="28" ht="15.75" customHeight="1">
      <c r="B28" s="1" t="s">
        <v>30</v>
      </c>
      <c r="C28" s="1">
        <v>32487.0</v>
      </c>
      <c r="D28" s="1">
        <f t="shared" si="7"/>
        <v>4257.5</v>
      </c>
      <c r="E28" s="1">
        <v>51090.0</v>
      </c>
      <c r="F28" s="1">
        <f t="shared" si="8"/>
        <v>10552.33333</v>
      </c>
      <c r="G28" s="1">
        <v>126628.0</v>
      </c>
      <c r="H28" s="7">
        <v>0.0</v>
      </c>
      <c r="I28" s="7">
        <v>0.0</v>
      </c>
      <c r="J28" s="7">
        <v>0.0</v>
      </c>
      <c r="K28" s="7">
        <v>0.0</v>
      </c>
      <c r="L28" s="7">
        <v>0.0</v>
      </c>
      <c r="M28" s="7">
        <v>0.0</v>
      </c>
      <c r="N28" s="7">
        <v>0.0</v>
      </c>
      <c r="O28" s="7">
        <v>0.0</v>
      </c>
      <c r="P28" s="7">
        <v>0.0</v>
      </c>
      <c r="Q28" s="7">
        <v>0.0</v>
      </c>
      <c r="R28" s="7">
        <v>0.0</v>
      </c>
      <c r="S28" s="7"/>
      <c r="T28" s="7">
        <f t="shared" si="4"/>
        <v>0</v>
      </c>
      <c r="U28" s="7">
        <f t="shared" si="1"/>
        <v>0</v>
      </c>
    </row>
    <row r="29" ht="15.75" customHeight="1">
      <c r="B29" s="1" t="s">
        <v>31</v>
      </c>
      <c r="C29" s="1">
        <v>32619.0</v>
      </c>
      <c r="D29" s="1">
        <f t="shared" si="7"/>
        <v>2505.666667</v>
      </c>
      <c r="E29" s="1">
        <v>30068.0</v>
      </c>
      <c r="F29" s="1">
        <f t="shared" si="8"/>
        <v>2214.666667</v>
      </c>
      <c r="G29" s="1">
        <v>26576.0</v>
      </c>
      <c r="H29" s="7">
        <v>9924.0</v>
      </c>
      <c r="I29" s="7">
        <v>0.0</v>
      </c>
      <c r="J29" s="7">
        <v>0.0</v>
      </c>
      <c r="K29" s="7">
        <v>0.0</v>
      </c>
      <c r="L29" s="7">
        <v>6800.0</v>
      </c>
      <c r="M29" s="7">
        <v>0.0</v>
      </c>
      <c r="N29" s="7">
        <v>0.0</v>
      </c>
      <c r="O29" s="7">
        <v>0.0</v>
      </c>
      <c r="P29" s="7">
        <v>5823.0</v>
      </c>
      <c r="Q29" s="7">
        <v>0.0</v>
      </c>
      <c r="R29" s="7">
        <v>0.0</v>
      </c>
      <c r="S29" s="7"/>
      <c r="T29" s="7">
        <f t="shared" si="4"/>
        <v>2049.727273</v>
      </c>
      <c r="U29" s="7">
        <f t="shared" si="1"/>
        <v>22547</v>
      </c>
    </row>
    <row r="30" ht="15.75" customHeight="1">
      <c r="B30" s="1" t="s">
        <v>32</v>
      </c>
      <c r="C30" s="1">
        <v>32406.0</v>
      </c>
      <c r="D30" s="1">
        <f t="shared" si="7"/>
        <v>81388.33333</v>
      </c>
      <c r="E30" s="1">
        <v>976660.0</v>
      </c>
      <c r="F30" s="1">
        <f t="shared" si="8"/>
        <v>99083.83333</v>
      </c>
      <c r="G30" s="1">
        <v>1189006.0</v>
      </c>
      <c r="H30" s="7">
        <v>0.0</v>
      </c>
      <c r="I30" s="7">
        <v>52030.0</v>
      </c>
      <c r="J30" s="7">
        <v>0.0</v>
      </c>
      <c r="K30" s="7">
        <v>52030.0</v>
      </c>
      <c r="L30" s="7">
        <v>52030.0</v>
      </c>
      <c r="M30" s="7">
        <v>52030.0</v>
      </c>
      <c r="N30" s="7">
        <v>52030.0</v>
      </c>
      <c r="O30" s="7">
        <v>52030.0</v>
      </c>
      <c r="P30" s="7">
        <v>104060.0</v>
      </c>
      <c r="Q30" s="7">
        <v>52030.0</v>
      </c>
      <c r="R30" s="7">
        <v>54430.0</v>
      </c>
      <c r="S30" s="7"/>
      <c r="T30" s="7">
        <f t="shared" si="4"/>
        <v>47518.18182</v>
      </c>
      <c r="U30" s="7">
        <f t="shared" si="1"/>
        <v>522700</v>
      </c>
    </row>
    <row r="31" ht="15.75" customHeight="1">
      <c r="B31" s="1" t="s">
        <v>33</v>
      </c>
      <c r="C31" s="1">
        <v>32407.0</v>
      </c>
      <c r="D31" s="1">
        <f t="shared" si="7"/>
        <v>25424.58333</v>
      </c>
      <c r="E31" s="1">
        <v>305095.0</v>
      </c>
      <c r="F31" s="1">
        <f t="shared" si="8"/>
        <v>9551.5</v>
      </c>
      <c r="G31" s="1">
        <v>114618.0</v>
      </c>
      <c r="H31" s="7">
        <v>0.0</v>
      </c>
      <c r="I31" s="7">
        <v>68400.0</v>
      </c>
      <c r="J31" s="7">
        <v>0.0</v>
      </c>
      <c r="K31" s="7">
        <v>720.0</v>
      </c>
      <c r="L31" s="7">
        <v>19965.0</v>
      </c>
      <c r="M31" s="7">
        <v>0.0</v>
      </c>
      <c r="N31" s="7">
        <v>0.0</v>
      </c>
      <c r="O31" s="7">
        <v>0.0</v>
      </c>
      <c r="P31" s="7">
        <v>0.0</v>
      </c>
      <c r="Q31" s="7">
        <v>0.0</v>
      </c>
      <c r="R31" s="7">
        <v>19965.0</v>
      </c>
      <c r="S31" s="7"/>
      <c r="T31" s="7">
        <f t="shared" si="4"/>
        <v>9913.636364</v>
      </c>
      <c r="U31" s="7">
        <f t="shared" si="1"/>
        <v>109050</v>
      </c>
    </row>
    <row r="32" ht="15.75" customHeight="1">
      <c r="B32" s="1" t="s">
        <v>34</v>
      </c>
      <c r="C32" s="1">
        <v>32408.0</v>
      </c>
      <c r="D32" s="1">
        <f t="shared" si="7"/>
        <v>8264.333333</v>
      </c>
      <c r="E32" s="1">
        <v>99172.0</v>
      </c>
      <c r="F32" s="1">
        <f t="shared" si="8"/>
        <v>8766.833333</v>
      </c>
      <c r="G32" s="1">
        <v>105202.0</v>
      </c>
      <c r="H32" s="7">
        <v>2177.0</v>
      </c>
      <c r="I32" s="7">
        <v>0.0</v>
      </c>
      <c r="J32" s="7">
        <v>0.0</v>
      </c>
      <c r="K32" s="7">
        <v>0.0</v>
      </c>
      <c r="L32" s="7">
        <v>0.0</v>
      </c>
      <c r="M32" s="7">
        <v>0.0</v>
      </c>
      <c r="N32" s="7">
        <v>0.0</v>
      </c>
      <c r="O32" s="7">
        <v>0.0</v>
      </c>
      <c r="P32" s="7">
        <v>1249.0</v>
      </c>
      <c r="Q32" s="7">
        <v>0.0</v>
      </c>
      <c r="R32" s="7">
        <v>516.0</v>
      </c>
      <c r="S32" s="7"/>
      <c r="T32" s="7">
        <f t="shared" si="4"/>
        <v>358.3636364</v>
      </c>
      <c r="U32" s="7">
        <f t="shared" si="1"/>
        <v>3942</v>
      </c>
    </row>
    <row r="33" ht="15.75" customHeight="1">
      <c r="B33" s="1" t="s">
        <v>35</v>
      </c>
      <c r="C33" s="1">
        <v>32409.0</v>
      </c>
      <c r="D33" s="1">
        <f t="shared" si="7"/>
        <v>1300</v>
      </c>
      <c r="E33" s="1">
        <v>15600.0</v>
      </c>
      <c r="F33" s="1">
        <f t="shared" si="8"/>
        <v>413.5</v>
      </c>
      <c r="G33" s="1">
        <v>4962.0</v>
      </c>
      <c r="H33" s="7">
        <v>0.0</v>
      </c>
      <c r="I33" s="7">
        <v>0.0</v>
      </c>
      <c r="J33" s="7">
        <v>0.0</v>
      </c>
      <c r="K33" s="7">
        <v>0.0</v>
      </c>
      <c r="L33" s="7">
        <v>0.0</v>
      </c>
      <c r="M33" s="7">
        <v>0.0</v>
      </c>
      <c r="N33" s="7">
        <v>0.0</v>
      </c>
      <c r="O33" s="7">
        <v>0.0</v>
      </c>
      <c r="P33" s="7">
        <v>0.0</v>
      </c>
      <c r="Q33" s="7">
        <v>0.0</v>
      </c>
      <c r="R33" s="7">
        <v>0.0</v>
      </c>
      <c r="S33" s="7"/>
      <c r="T33" s="7">
        <f t="shared" si="4"/>
        <v>0</v>
      </c>
      <c r="U33" s="7">
        <f t="shared" si="1"/>
        <v>0</v>
      </c>
    </row>
    <row r="34" ht="15.75" customHeight="1">
      <c r="B34" s="1" t="s">
        <v>36</v>
      </c>
      <c r="C34" s="1">
        <v>32417.0</v>
      </c>
      <c r="D34" s="1">
        <f t="shared" si="7"/>
        <v>454071.5833</v>
      </c>
      <c r="E34" s="1">
        <v>5448859.0</v>
      </c>
      <c r="F34" s="1">
        <f t="shared" si="8"/>
        <v>41109.58333</v>
      </c>
      <c r="G34" s="1">
        <v>493315.0</v>
      </c>
      <c r="H34" s="7">
        <v>0.0</v>
      </c>
      <c r="I34" s="7">
        <v>0.0</v>
      </c>
      <c r="J34" s="7">
        <v>0.0</v>
      </c>
      <c r="K34" s="7">
        <v>0.0</v>
      </c>
      <c r="L34" s="7">
        <v>0.0</v>
      </c>
      <c r="M34" s="7">
        <v>0.0</v>
      </c>
      <c r="N34" s="7">
        <v>0.0</v>
      </c>
      <c r="O34" s="7">
        <v>0.0</v>
      </c>
      <c r="P34" s="7">
        <v>0.0</v>
      </c>
      <c r="Q34" s="7">
        <v>0.0</v>
      </c>
      <c r="R34" s="7">
        <v>0.0</v>
      </c>
      <c r="S34" s="7"/>
      <c r="T34" s="7">
        <f t="shared" si="4"/>
        <v>0</v>
      </c>
      <c r="U34" s="7">
        <f t="shared" si="1"/>
        <v>0</v>
      </c>
    </row>
    <row r="35" ht="15.75" customHeight="1">
      <c r="B35" s="1" t="s">
        <v>37</v>
      </c>
      <c r="C35" s="1">
        <v>32418.0</v>
      </c>
      <c r="D35" s="1">
        <f t="shared" si="7"/>
        <v>2068.5</v>
      </c>
      <c r="E35" s="1">
        <v>24822.0</v>
      </c>
      <c r="F35" s="1">
        <f t="shared" si="8"/>
        <v>6023.5</v>
      </c>
      <c r="G35" s="1">
        <v>72282.0</v>
      </c>
      <c r="H35" s="7">
        <v>0.0</v>
      </c>
      <c r="I35" s="7">
        <v>0.0</v>
      </c>
      <c r="J35" s="7">
        <v>0.0</v>
      </c>
      <c r="K35" s="7">
        <v>6153.0</v>
      </c>
      <c r="L35" s="7">
        <v>0.0</v>
      </c>
      <c r="M35" s="7">
        <v>0.0</v>
      </c>
      <c r="N35" s="7">
        <v>0.0</v>
      </c>
      <c r="O35" s="7">
        <v>0.0</v>
      </c>
      <c r="P35" s="7">
        <v>18910.0</v>
      </c>
      <c r="Q35" s="7">
        <v>0.0</v>
      </c>
      <c r="R35" s="7">
        <v>0.0</v>
      </c>
      <c r="S35" s="7"/>
      <c r="T35" s="7">
        <f t="shared" si="4"/>
        <v>2278.454545</v>
      </c>
      <c r="U35" s="7">
        <f t="shared" si="1"/>
        <v>25063</v>
      </c>
    </row>
    <row r="36" ht="15.75" customHeight="1">
      <c r="B36" s="1" t="s">
        <v>37</v>
      </c>
      <c r="C36" s="1">
        <v>32419.0</v>
      </c>
      <c r="D36" s="1">
        <f t="shared" si="7"/>
        <v>184064.25</v>
      </c>
      <c r="E36" s="1">
        <v>2208771.0</v>
      </c>
      <c r="F36" s="1">
        <f t="shared" si="8"/>
        <v>194773.6667</v>
      </c>
      <c r="G36" s="1">
        <v>2337284.0</v>
      </c>
      <c r="H36" s="7">
        <v>107326.0</v>
      </c>
      <c r="I36" s="7">
        <v>19020.0</v>
      </c>
      <c r="J36" s="7">
        <v>19020.0</v>
      </c>
      <c r="K36" s="7">
        <v>121213.0</v>
      </c>
      <c r="L36" s="7">
        <v>112285.0</v>
      </c>
      <c r="M36" s="7">
        <v>78741.0</v>
      </c>
      <c r="N36" s="7">
        <v>554222.0</v>
      </c>
      <c r="O36" s="7">
        <v>94139.0</v>
      </c>
      <c r="P36" s="7">
        <v>72510.0</v>
      </c>
      <c r="Q36" s="7">
        <v>62381.0</v>
      </c>
      <c r="R36" s="7">
        <v>174724.0</v>
      </c>
      <c r="S36" s="7"/>
      <c r="T36" s="7">
        <f t="shared" si="4"/>
        <v>128689.1818</v>
      </c>
      <c r="U36" s="7">
        <f t="shared" si="1"/>
        <v>1415581</v>
      </c>
    </row>
    <row r="37" ht="15.75" customHeight="1">
      <c r="B37" s="1" t="s">
        <v>38</v>
      </c>
      <c r="C37" s="1">
        <v>32484.0</v>
      </c>
      <c r="D37" s="1">
        <f t="shared" si="7"/>
        <v>3948.916667</v>
      </c>
      <c r="E37" s="1">
        <v>47387.0</v>
      </c>
      <c r="F37" s="1">
        <f t="shared" si="8"/>
        <v>5375.833333</v>
      </c>
      <c r="G37" s="1">
        <v>64510.0</v>
      </c>
      <c r="H37" s="7">
        <v>0.0</v>
      </c>
      <c r="I37" s="7">
        <v>0.0</v>
      </c>
      <c r="J37" s="7">
        <v>0.0</v>
      </c>
      <c r="K37" s="7">
        <v>0.0</v>
      </c>
      <c r="L37" s="7">
        <v>0.0</v>
      </c>
      <c r="M37" s="7">
        <v>0.0</v>
      </c>
      <c r="N37" s="7">
        <v>0.0</v>
      </c>
      <c r="O37" s="7">
        <v>0.0</v>
      </c>
      <c r="P37" s="7">
        <v>0.0</v>
      </c>
      <c r="Q37" s="7">
        <v>0.0</v>
      </c>
      <c r="R37" s="7">
        <v>0.0</v>
      </c>
      <c r="S37" s="7"/>
      <c r="T37" s="7">
        <f t="shared" si="4"/>
        <v>0</v>
      </c>
      <c r="U37" s="7">
        <f t="shared" si="1"/>
        <v>0</v>
      </c>
    </row>
    <row r="38" ht="15.75" customHeight="1">
      <c r="B38" s="1" t="s">
        <v>39</v>
      </c>
      <c r="C38" s="1">
        <v>32766.0</v>
      </c>
      <c r="D38" s="1"/>
      <c r="E38" s="1"/>
      <c r="F38" s="1"/>
      <c r="G38" s="1"/>
      <c r="H38" s="1">
        <v>12747.0</v>
      </c>
      <c r="I38" s="1">
        <v>11237.0</v>
      </c>
      <c r="J38" s="1">
        <v>10800.0</v>
      </c>
      <c r="K38" s="1">
        <v>70333.0</v>
      </c>
      <c r="L38" s="1">
        <v>18396.0</v>
      </c>
      <c r="M38" s="1">
        <v>15807.0</v>
      </c>
      <c r="N38" s="1">
        <v>12987.0</v>
      </c>
      <c r="O38" s="1">
        <v>13905.0</v>
      </c>
      <c r="P38" s="1">
        <v>19302.0</v>
      </c>
      <c r="Q38" s="1">
        <v>22538.0</v>
      </c>
      <c r="R38" s="1">
        <v>24419.0</v>
      </c>
      <c r="S38" s="1"/>
      <c r="T38" s="1">
        <f t="shared" si="4"/>
        <v>21133.72727</v>
      </c>
      <c r="U38" s="1">
        <f t="shared" si="1"/>
        <v>232471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D3:E3"/>
    <mergeCell ref="F3:G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25"/>
    <col customWidth="1" min="2" max="13" width="8.0"/>
    <col customWidth="1" min="14" max="14" width="8.75"/>
    <col customWidth="1" hidden="1" min="15" max="15" width="8.63"/>
    <col customWidth="1" min="16" max="17" width="8.0"/>
    <col customWidth="1" min="18" max="18" width="12.0"/>
    <col customWidth="1" min="19" max="19" width="11.13"/>
    <col customWidth="1" min="20" max="21" width="8.0"/>
    <col customWidth="1" min="22" max="26" width="7.63"/>
  </cols>
  <sheetData>
    <row r="1">
      <c r="A1" s="12"/>
      <c r="B1" s="13">
        <v>43556.0</v>
      </c>
      <c r="C1" s="13">
        <v>43586.0</v>
      </c>
      <c r="D1" s="13">
        <v>43617.0</v>
      </c>
      <c r="E1" s="13">
        <v>43647.0</v>
      </c>
      <c r="F1" s="13">
        <v>43678.0</v>
      </c>
      <c r="G1" s="13">
        <v>43709.0</v>
      </c>
      <c r="H1" s="13">
        <v>43739.0</v>
      </c>
      <c r="I1" s="13">
        <v>43770.0</v>
      </c>
      <c r="J1" s="13">
        <v>43800.0</v>
      </c>
      <c r="K1" s="13">
        <v>43831.0</v>
      </c>
      <c r="L1" s="13">
        <v>43862.0</v>
      </c>
      <c r="M1" s="13">
        <v>43891.0</v>
      </c>
      <c r="N1" s="14" t="s">
        <v>40</v>
      </c>
      <c r="O1" s="14" t="s">
        <v>41</v>
      </c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4"/>
      <c r="O2" s="14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6" t="s">
        <v>42</v>
      </c>
      <c r="B3" s="17">
        <v>365.0</v>
      </c>
      <c r="C3" s="17">
        <v>420.0</v>
      </c>
      <c r="D3" s="17">
        <v>635.0</v>
      </c>
      <c r="E3" s="17">
        <v>1052.0</v>
      </c>
      <c r="F3" s="17">
        <v>677.0</v>
      </c>
      <c r="G3" s="17">
        <v>860.0</v>
      </c>
      <c r="H3" s="17">
        <v>640.0</v>
      </c>
      <c r="I3" s="17">
        <v>862.0</v>
      </c>
      <c r="J3" s="17">
        <v>762.0</v>
      </c>
      <c r="K3" s="17">
        <v>760.0</v>
      </c>
      <c r="L3" s="17">
        <v>977.0</v>
      </c>
      <c r="M3" s="17"/>
      <c r="N3" s="18">
        <f>SUM(B3:M3)</f>
        <v>8010</v>
      </c>
      <c r="O3" s="18">
        <f>AVERAGE(B3:M3)</f>
        <v>728.1818182</v>
      </c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2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4"/>
      <c r="O4" s="14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9"/>
      <c r="B5" s="20" t="s">
        <v>43</v>
      </c>
      <c r="C5" s="20" t="s">
        <v>43</v>
      </c>
      <c r="D5" s="20" t="s">
        <v>43</v>
      </c>
      <c r="E5" s="20" t="s">
        <v>43</v>
      </c>
      <c r="F5" s="20" t="s">
        <v>43</v>
      </c>
      <c r="G5" s="20" t="s">
        <v>43</v>
      </c>
      <c r="H5" s="20" t="s">
        <v>43</v>
      </c>
      <c r="I5" s="20" t="s">
        <v>43</v>
      </c>
      <c r="J5" s="20" t="s">
        <v>43</v>
      </c>
      <c r="K5" s="20" t="s">
        <v>43</v>
      </c>
      <c r="L5" s="20" t="s">
        <v>43</v>
      </c>
      <c r="M5" s="20" t="s">
        <v>43</v>
      </c>
      <c r="N5" s="21" t="s">
        <v>43</v>
      </c>
      <c r="O5" s="21" t="s">
        <v>43</v>
      </c>
      <c r="P5" s="15"/>
      <c r="Q5" s="15"/>
      <c r="R5" s="22"/>
      <c r="S5" s="23"/>
      <c r="T5" s="15"/>
      <c r="U5" s="23"/>
      <c r="V5" s="15"/>
      <c r="W5" s="15"/>
      <c r="X5" s="15"/>
      <c r="Y5" s="15"/>
      <c r="Z5" s="15"/>
    </row>
    <row r="6">
      <c r="A6" s="24" t="s">
        <v>44</v>
      </c>
      <c r="B6" s="25">
        <f>SUM(Sheet1!H7:H17,Sheet1!H38)</f>
        <v>1562142</v>
      </c>
      <c r="C6" s="25">
        <f>SUM(Sheet1!I7:I17,Sheet1!I38)</f>
        <v>2591861</v>
      </c>
      <c r="D6" s="25">
        <f>SUM(Sheet1!J7:J17,Sheet1!J38)</f>
        <v>883067</v>
      </c>
      <c r="E6" s="25">
        <f>SUM(Sheet1!K7:K17,Sheet1!K38)</f>
        <v>1152922</v>
      </c>
      <c r="F6" s="25">
        <f>SUM(Sheet1!L7:L17,Sheet1!L38)</f>
        <v>1498374</v>
      </c>
      <c r="G6" s="25">
        <f>SUM(Sheet1!M7:M17,Sheet1!M38)</f>
        <v>883100</v>
      </c>
      <c r="H6" s="25">
        <f>SUM(Sheet1!N7:N17,Sheet1!N38)</f>
        <v>678264</v>
      </c>
      <c r="I6" s="25">
        <f>SUM(Sheet1!O7:O17,Sheet1!O38)</f>
        <v>679087</v>
      </c>
      <c r="J6" s="25">
        <f>SUM(Sheet1!P7:P17,Sheet1!P38)</f>
        <v>662445</v>
      </c>
      <c r="K6" s="25">
        <f>SUM(Sheet1!Q7:Q17,Sheet1!Q38)</f>
        <v>775976</v>
      </c>
      <c r="L6" s="25">
        <f>SUM(Sheet1!R7:R17,Sheet1!R38)</f>
        <v>1717158</v>
      </c>
      <c r="M6" s="12"/>
      <c r="N6" s="18">
        <f t="shared" ref="N6:N9" si="1">SUM(B6:M6)</f>
        <v>13084396</v>
      </c>
      <c r="O6" s="18">
        <f t="shared" ref="O6:O9" si="2">AVERAGE(B6:M6)</f>
        <v>1189490.545</v>
      </c>
      <c r="P6" s="15"/>
      <c r="Q6" s="15"/>
      <c r="R6" s="22"/>
      <c r="S6" s="23"/>
      <c r="T6" s="15"/>
      <c r="U6" s="23"/>
      <c r="V6" s="15"/>
      <c r="W6" s="15"/>
      <c r="X6" s="15"/>
      <c r="Y6" s="15"/>
      <c r="Z6" s="15"/>
    </row>
    <row r="7">
      <c r="A7" s="24" t="s">
        <v>8</v>
      </c>
      <c r="B7" s="26">
        <f>Sheet1!H6</f>
        <v>731507</v>
      </c>
      <c r="C7" s="26">
        <f>Sheet1!I6</f>
        <v>792791</v>
      </c>
      <c r="D7" s="26">
        <f>Sheet1!J6</f>
        <v>1020609</v>
      </c>
      <c r="E7" s="25">
        <f>Sheet1!K6</f>
        <v>1500634</v>
      </c>
      <c r="F7" s="25">
        <f>Sheet1!L6</f>
        <v>1174976</v>
      </c>
      <c r="G7" s="25">
        <f>Sheet1!M6</f>
        <v>1038601</v>
      </c>
      <c r="H7" s="25">
        <f>Sheet1!N6</f>
        <v>534169</v>
      </c>
      <c r="I7" s="25">
        <f>Sheet1!O6</f>
        <v>494113</v>
      </c>
      <c r="J7" s="26">
        <f>Sheet1!P6</f>
        <v>1025753</v>
      </c>
      <c r="K7" s="26">
        <f>Sheet1!Q6</f>
        <v>1385958</v>
      </c>
      <c r="L7" s="26">
        <f>Sheet1!R6</f>
        <v>1571598</v>
      </c>
      <c r="M7" s="12"/>
      <c r="N7" s="14">
        <f t="shared" si="1"/>
        <v>11270709</v>
      </c>
      <c r="O7" s="18">
        <f t="shared" si="2"/>
        <v>1024609.909</v>
      </c>
      <c r="P7" s="15"/>
      <c r="Q7" s="15"/>
      <c r="R7" s="22"/>
      <c r="S7" s="23"/>
      <c r="T7" s="15"/>
      <c r="U7" s="23"/>
      <c r="V7" s="15"/>
      <c r="W7" s="15"/>
      <c r="X7" s="15"/>
      <c r="Y7" s="15"/>
      <c r="Z7" s="15"/>
    </row>
    <row r="8">
      <c r="A8" s="24" t="s">
        <v>45</v>
      </c>
      <c r="B8" s="26">
        <f>Sheet1!H5</f>
        <v>191277</v>
      </c>
      <c r="C8" s="26">
        <f>Sheet1!I5</f>
        <v>195721</v>
      </c>
      <c r="D8" s="26">
        <f>Sheet1!J5</f>
        <v>261627</v>
      </c>
      <c r="E8" s="26">
        <f>Sheet1!K5</f>
        <v>515014</v>
      </c>
      <c r="F8" s="26">
        <f>Sheet1!L5</f>
        <v>483750</v>
      </c>
      <c r="G8" s="26">
        <f>Sheet1!M5</f>
        <v>449127</v>
      </c>
      <c r="H8" s="26">
        <f>Sheet1!N5</f>
        <v>217770</v>
      </c>
      <c r="I8" s="26">
        <f>Sheet1!O5</f>
        <v>344894</v>
      </c>
      <c r="J8" s="26">
        <f>Sheet1!P5</f>
        <v>172014</v>
      </c>
      <c r="K8" s="26">
        <f>Sheet1!Q5</f>
        <v>253015</v>
      </c>
      <c r="L8" s="26">
        <f>Sheet1!R5</f>
        <v>443414</v>
      </c>
      <c r="M8" s="12"/>
      <c r="N8" s="14">
        <f t="shared" si="1"/>
        <v>3527623</v>
      </c>
      <c r="O8" s="18">
        <f t="shared" si="2"/>
        <v>320693</v>
      </c>
      <c r="P8" s="15"/>
      <c r="Q8" s="15"/>
      <c r="R8" s="22"/>
      <c r="S8" s="23"/>
      <c r="T8" s="15"/>
      <c r="U8" s="23"/>
      <c r="V8" s="15"/>
      <c r="W8" s="15"/>
      <c r="X8" s="15"/>
      <c r="Y8" s="15"/>
      <c r="Z8" s="15"/>
    </row>
    <row r="9">
      <c r="A9" s="24"/>
      <c r="B9" s="25">
        <f t="shared" ref="B9:L9" si="3">B6/B3</f>
        <v>4279.841096</v>
      </c>
      <c r="C9" s="25">
        <f t="shared" si="3"/>
        <v>6171.097619</v>
      </c>
      <c r="D9" s="25">
        <f t="shared" si="3"/>
        <v>1390.656693</v>
      </c>
      <c r="E9" s="25">
        <f t="shared" si="3"/>
        <v>1095.93346</v>
      </c>
      <c r="F9" s="25">
        <f t="shared" si="3"/>
        <v>2213.255539</v>
      </c>
      <c r="G9" s="25">
        <f t="shared" si="3"/>
        <v>1026.860465</v>
      </c>
      <c r="H9" s="25">
        <f t="shared" si="3"/>
        <v>1059.7875</v>
      </c>
      <c r="I9" s="25">
        <f t="shared" si="3"/>
        <v>787.8039443</v>
      </c>
      <c r="J9" s="25">
        <f t="shared" si="3"/>
        <v>869.3503937</v>
      </c>
      <c r="K9" s="25">
        <f t="shared" si="3"/>
        <v>1021.021053</v>
      </c>
      <c r="L9" s="25">
        <f t="shared" si="3"/>
        <v>1757.582395</v>
      </c>
      <c r="M9" s="27"/>
      <c r="N9" s="18">
        <f t="shared" si="1"/>
        <v>21673.19016</v>
      </c>
      <c r="O9" s="18">
        <f t="shared" si="2"/>
        <v>1970.290014</v>
      </c>
      <c r="P9" s="15"/>
      <c r="Q9" s="15"/>
      <c r="R9" s="22"/>
      <c r="S9" s="15"/>
      <c r="T9" s="15"/>
      <c r="U9" s="15"/>
      <c r="V9" s="15"/>
      <c r="W9" s="15"/>
      <c r="X9" s="15"/>
      <c r="Y9" s="15"/>
      <c r="Z9" s="15"/>
    </row>
    <row r="10">
      <c r="A10" s="16" t="s">
        <v>46</v>
      </c>
      <c r="B10" s="28">
        <f t="shared" ref="B10:L10" si="4">SUM(B6:B8)</f>
        <v>2484926</v>
      </c>
      <c r="C10" s="28">
        <f t="shared" si="4"/>
        <v>3580373</v>
      </c>
      <c r="D10" s="28">
        <f t="shared" si="4"/>
        <v>2165303</v>
      </c>
      <c r="E10" s="28">
        <f t="shared" si="4"/>
        <v>3168570</v>
      </c>
      <c r="F10" s="28">
        <f t="shared" si="4"/>
        <v>3157100</v>
      </c>
      <c r="G10" s="28">
        <f t="shared" si="4"/>
        <v>2370828</v>
      </c>
      <c r="H10" s="28">
        <f t="shared" si="4"/>
        <v>1430203</v>
      </c>
      <c r="I10" s="28">
        <f t="shared" si="4"/>
        <v>1518094</v>
      </c>
      <c r="J10" s="28">
        <f t="shared" si="4"/>
        <v>1860212</v>
      </c>
      <c r="K10" s="28">
        <f t="shared" si="4"/>
        <v>2414949</v>
      </c>
      <c r="L10" s="28">
        <f t="shared" si="4"/>
        <v>3732170</v>
      </c>
      <c r="M10" s="17"/>
      <c r="N10" s="18">
        <f t="shared" ref="N10:O10" si="5">SUM(N6:N9)</f>
        <v>27904401.19</v>
      </c>
      <c r="O10" s="18">
        <f t="shared" si="5"/>
        <v>2536763.745</v>
      </c>
      <c r="P10" s="15"/>
      <c r="Q10" s="15"/>
      <c r="R10" s="22"/>
      <c r="S10" s="15"/>
      <c r="T10" s="15"/>
      <c r="U10" s="15"/>
      <c r="V10" s="15"/>
      <c r="W10" s="15"/>
      <c r="X10" s="15"/>
      <c r="Y10" s="15"/>
      <c r="Z10" s="15"/>
    </row>
    <row r="11">
      <c r="A11" s="24"/>
      <c r="B11" s="24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4"/>
      <c r="O11" s="14"/>
      <c r="P11" s="15"/>
      <c r="Q11" s="15"/>
      <c r="R11" s="22"/>
      <c r="S11" s="15"/>
      <c r="T11" s="15"/>
      <c r="U11" s="15"/>
      <c r="V11" s="15"/>
      <c r="W11" s="15"/>
      <c r="X11" s="15"/>
      <c r="Y11" s="15"/>
      <c r="Z11" s="15"/>
    </row>
    <row r="12">
      <c r="A12" s="24" t="s">
        <v>47</v>
      </c>
      <c r="B12" s="25">
        <f>SUM(Sheet1!H19:H20)</f>
        <v>1232241</v>
      </c>
      <c r="C12" s="25">
        <f>SUM(Sheet1!I19:I20)</f>
        <v>1386532</v>
      </c>
      <c r="D12" s="25">
        <f>SUM(Sheet1!J19:J20)</f>
        <v>1295956</v>
      </c>
      <c r="E12" s="25">
        <f>SUM(Sheet1!K19:K20)</f>
        <v>1299352</v>
      </c>
      <c r="F12" s="25">
        <f>SUM(Sheet1!L19:L20)</f>
        <v>1356276</v>
      </c>
      <c r="G12" s="25">
        <f>SUM(Sheet1!M19:M20)</f>
        <v>1380305</v>
      </c>
      <c r="H12" s="25">
        <f>SUM(Sheet1!N19:N20)</f>
        <v>1338394</v>
      </c>
      <c r="I12" s="25">
        <f>SUM(Sheet1!O19:O20)</f>
        <v>1354601</v>
      </c>
      <c r="J12" s="25">
        <f>SUM(Sheet1!P19:P20)</f>
        <v>1270093</v>
      </c>
      <c r="K12" s="25">
        <f>SUM(Sheet1!Q19:Q20)</f>
        <v>1660982</v>
      </c>
      <c r="L12" s="25">
        <f>SUM(Sheet1!R19:R20)</f>
        <v>1476446</v>
      </c>
      <c r="M12" s="12"/>
      <c r="N12" s="18">
        <f t="shared" ref="N12:N14" si="6">SUM(B12:M12)</f>
        <v>15051178</v>
      </c>
      <c r="O12" s="18">
        <f t="shared" ref="O12:O14" si="7">AVERAGE(B12:M12)</f>
        <v>1368288.909</v>
      </c>
      <c r="P12" s="15"/>
      <c r="Q12" s="15"/>
      <c r="R12" s="22"/>
      <c r="S12" s="15"/>
      <c r="T12" s="15"/>
      <c r="U12" s="15"/>
      <c r="V12" s="15"/>
      <c r="W12" s="15"/>
      <c r="X12" s="15"/>
      <c r="Y12" s="15"/>
      <c r="Z12" s="15"/>
    </row>
    <row r="13">
      <c r="A13" s="24" t="s">
        <v>48</v>
      </c>
      <c r="B13" s="25">
        <f>SUM(Sheet1!H21:H37)</f>
        <v>127378</v>
      </c>
      <c r="C13" s="25">
        <f>SUM(Sheet1!I21:I37)</f>
        <v>219735</v>
      </c>
      <c r="D13" s="25">
        <f>SUM(Sheet1!J21:J37)</f>
        <v>66016</v>
      </c>
      <c r="E13" s="25">
        <f>SUM(Sheet1!K21:K37)</f>
        <v>275070</v>
      </c>
      <c r="F13" s="25">
        <f>SUM(Sheet1!L21:L37)</f>
        <v>213389</v>
      </c>
      <c r="G13" s="25">
        <f>SUM(Sheet1!M21:M37)</f>
        <v>177059</v>
      </c>
      <c r="H13" s="25">
        <f>SUM(Sheet1!N21:N37)</f>
        <v>626610</v>
      </c>
      <c r="I13" s="25">
        <f>SUM(Sheet1!O21:O37)</f>
        <v>230675</v>
      </c>
      <c r="J13" s="25">
        <f>SUM(Sheet1!P21:P37)</f>
        <v>271688</v>
      </c>
      <c r="K13" s="25">
        <f>SUM(Sheet1!Q21:Q37)</f>
        <v>128491</v>
      </c>
      <c r="L13" s="25">
        <f>SUM(Sheet1!R21:R37)</f>
        <v>272520</v>
      </c>
      <c r="M13" s="12"/>
      <c r="N13" s="18">
        <f t="shared" si="6"/>
        <v>2608631</v>
      </c>
      <c r="O13" s="18">
        <f t="shared" si="7"/>
        <v>237148.2727</v>
      </c>
      <c r="P13" s="15"/>
      <c r="Q13" s="15"/>
      <c r="R13" s="22"/>
      <c r="S13" s="15"/>
      <c r="T13" s="15"/>
      <c r="U13" s="15"/>
      <c r="V13" s="15"/>
      <c r="W13" s="15"/>
      <c r="X13" s="15"/>
      <c r="Y13" s="15"/>
      <c r="Z13" s="15"/>
    </row>
    <row r="14">
      <c r="A14" s="24" t="s">
        <v>49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4">
        <f t="shared" si="6"/>
        <v>0</v>
      </c>
      <c r="O14" s="18" t="str">
        <f t="shared" si="7"/>
        <v>#DIV/0!</v>
      </c>
      <c r="P14" s="15"/>
      <c r="Q14" s="15"/>
      <c r="R14" s="29"/>
      <c r="S14" s="15"/>
      <c r="T14" s="15"/>
      <c r="U14" s="15"/>
      <c r="V14" s="15"/>
      <c r="W14" s="15"/>
      <c r="X14" s="15"/>
      <c r="Y14" s="15"/>
      <c r="Z14" s="15"/>
    </row>
    <row r="15">
      <c r="A15" s="16" t="s">
        <v>50</v>
      </c>
      <c r="B15" s="28">
        <f t="shared" ref="B15:L15" si="8">B12+B13</f>
        <v>1359619</v>
      </c>
      <c r="C15" s="28">
        <f t="shared" si="8"/>
        <v>1606267</v>
      </c>
      <c r="D15" s="28">
        <f t="shared" si="8"/>
        <v>1361972</v>
      </c>
      <c r="E15" s="28">
        <f t="shared" si="8"/>
        <v>1574422</v>
      </c>
      <c r="F15" s="28">
        <f t="shared" si="8"/>
        <v>1569665</v>
      </c>
      <c r="G15" s="28">
        <f t="shared" si="8"/>
        <v>1557364</v>
      </c>
      <c r="H15" s="28">
        <f t="shared" si="8"/>
        <v>1965004</v>
      </c>
      <c r="I15" s="28">
        <f t="shared" si="8"/>
        <v>1585276</v>
      </c>
      <c r="J15" s="28">
        <f t="shared" si="8"/>
        <v>1541781</v>
      </c>
      <c r="K15" s="28">
        <f t="shared" si="8"/>
        <v>1789473</v>
      </c>
      <c r="L15" s="28">
        <f t="shared" si="8"/>
        <v>1748966</v>
      </c>
      <c r="M15" s="16"/>
      <c r="N15" s="18">
        <f t="shared" ref="N15:O15" si="9">SUM(N12:N14)</f>
        <v>17659809</v>
      </c>
      <c r="O15" s="14" t="str">
        <f t="shared" si="9"/>
        <v>#DIV/0!</v>
      </c>
      <c r="P15" s="15"/>
      <c r="Q15" s="15"/>
      <c r="R15" s="29"/>
      <c r="S15" s="15"/>
      <c r="T15" s="15"/>
      <c r="U15" s="15"/>
      <c r="V15" s="15"/>
      <c r="W15" s="15"/>
      <c r="X15" s="15"/>
      <c r="Y15" s="15"/>
      <c r="Z15" s="15"/>
    </row>
    <row r="16">
      <c r="A16" s="12"/>
      <c r="B16" s="24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4"/>
      <c r="O16" s="14"/>
      <c r="P16" s="15"/>
      <c r="Q16" s="15"/>
      <c r="R16" s="29"/>
      <c r="S16" s="15"/>
      <c r="T16" s="15"/>
      <c r="U16" s="15"/>
      <c r="V16" s="15"/>
      <c r="W16" s="15"/>
      <c r="X16" s="15"/>
      <c r="Y16" s="15"/>
      <c r="Z16" s="15"/>
    </row>
    <row r="17">
      <c r="A17" s="24" t="s">
        <v>51</v>
      </c>
      <c r="B17" s="24"/>
      <c r="C17" s="12"/>
      <c r="D17" s="12"/>
      <c r="E17" s="12"/>
      <c r="F17" s="12"/>
      <c r="G17" s="12"/>
      <c r="H17" s="12"/>
      <c r="I17" s="30"/>
      <c r="J17" s="12"/>
      <c r="K17" s="12"/>
      <c r="L17" s="12"/>
      <c r="M17" s="12"/>
      <c r="N17" s="14">
        <f>SUM(B17:M17)</f>
        <v>0</v>
      </c>
      <c r="O17" s="18" t="str">
        <f>AVERAGE(B17:M17)</f>
        <v>#DIV/0!</v>
      </c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4"/>
      <c r="O18" s="14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 t="s">
        <v>52</v>
      </c>
      <c r="B19" s="28">
        <f t="shared" ref="B19:L19" si="10">B15+B10</f>
        <v>3844545</v>
      </c>
      <c r="C19" s="28">
        <f t="shared" si="10"/>
        <v>5186640</v>
      </c>
      <c r="D19" s="28">
        <f t="shared" si="10"/>
        <v>3527275</v>
      </c>
      <c r="E19" s="28">
        <f t="shared" si="10"/>
        <v>4742992</v>
      </c>
      <c r="F19" s="28">
        <f t="shared" si="10"/>
        <v>4726765</v>
      </c>
      <c r="G19" s="28">
        <f t="shared" si="10"/>
        <v>3928192</v>
      </c>
      <c r="H19" s="28">
        <f t="shared" si="10"/>
        <v>3395207</v>
      </c>
      <c r="I19" s="28">
        <f t="shared" si="10"/>
        <v>3103370</v>
      </c>
      <c r="J19" s="28">
        <f t="shared" si="10"/>
        <v>3401993</v>
      </c>
      <c r="K19" s="28">
        <f t="shared" si="10"/>
        <v>4204422</v>
      </c>
      <c r="L19" s="28">
        <f t="shared" si="10"/>
        <v>5481136</v>
      </c>
      <c r="M19" s="17"/>
      <c r="N19" s="18">
        <f t="shared" ref="N19:O19" si="11">+N10+N15+N17</f>
        <v>45564210.19</v>
      </c>
      <c r="O19" s="18" t="str">
        <f t="shared" si="11"/>
        <v>#DIV/0!</v>
      </c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4"/>
      <c r="O20" s="14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2" t="s">
        <v>53</v>
      </c>
      <c r="B21" s="30"/>
      <c r="C21" s="30"/>
      <c r="D21" s="12"/>
      <c r="E21" s="30"/>
      <c r="F21" s="30"/>
      <c r="G21" s="12"/>
      <c r="H21" s="30"/>
      <c r="I21" s="30"/>
      <c r="J21" s="12"/>
      <c r="K21" s="12"/>
      <c r="L21" s="12"/>
      <c r="M21" s="12"/>
      <c r="N21" s="31">
        <f>SUM(B21:M21)</f>
        <v>0</v>
      </c>
      <c r="O21" s="18" t="str">
        <f>AVERAGE(B21:M21)</f>
        <v>#DIV/0!</v>
      </c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4"/>
      <c r="O22" s="18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4"/>
      <c r="O23" s="14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6" t="s">
        <v>54</v>
      </c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8">
        <f t="shared" ref="N24:O24" si="12">+N19-N21</f>
        <v>45564210.19</v>
      </c>
      <c r="O24" s="18" t="str">
        <f t="shared" si="12"/>
        <v>#DIV/0!</v>
      </c>
      <c r="P24" s="23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6"/>
      <c r="B25" s="16"/>
      <c r="C25" s="16"/>
      <c r="D25" s="16"/>
      <c r="E25" s="16"/>
      <c r="F25" s="16"/>
      <c r="G25" s="16"/>
      <c r="H25" s="16"/>
      <c r="I25" s="16"/>
      <c r="J25" s="17"/>
      <c r="K25" s="16"/>
      <c r="L25" s="16"/>
      <c r="M25" s="16"/>
      <c r="N25" s="14"/>
      <c r="O25" s="18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2"/>
      <c r="B26" s="12"/>
      <c r="C26" s="12"/>
      <c r="D26" s="12"/>
      <c r="E26" s="12"/>
      <c r="F26" s="12"/>
      <c r="G26" s="12"/>
      <c r="H26" s="16"/>
      <c r="I26" s="16"/>
      <c r="J26" s="16"/>
      <c r="K26" s="16"/>
      <c r="L26" s="16"/>
      <c r="M26" s="16"/>
      <c r="N26" s="14"/>
      <c r="O26" s="18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2" t="s">
        <v>52</v>
      </c>
      <c r="B27" s="17">
        <f t="shared" ref="B27:L27" si="13">B19</f>
        <v>3844545</v>
      </c>
      <c r="C27" s="17">
        <f t="shared" si="13"/>
        <v>5186640</v>
      </c>
      <c r="D27" s="17">
        <f t="shared" si="13"/>
        <v>3527275</v>
      </c>
      <c r="E27" s="17">
        <f t="shared" si="13"/>
        <v>4742992</v>
      </c>
      <c r="F27" s="17">
        <f t="shared" si="13"/>
        <v>4726765</v>
      </c>
      <c r="G27" s="17">
        <f t="shared" si="13"/>
        <v>3928192</v>
      </c>
      <c r="H27" s="17">
        <f t="shared" si="13"/>
        <v>3395207</v>
      </c>
      <c r="I27" s="17">
        <f t="shared" si="13"/>
        <v>3103370</v>
      </c>
      <c r="J27" s="17">
        <f t="shared" si="13"/>
        <v>3401993</v>
      </c>
      <c r="K27" s="17">
        <f t="shared" si="13"/>
        <v>4204422</v>
      </c>
      <c r="L27" s="17">
        <f t="shared" si="13"/>
        <v>5481136</v>
      </c>
      <c r="M27" s="17"/>
      <c r="N27" s="18">
        <f>SUM(B27:M27)</f>
        <v>45542537</v>
      </c>
      <c r="O27" s="18">
        <f>AVERAGE(B27:M27)</f>
        <v>4140230.636</v>
      </c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2"/>
      <c r="B28" s="12"/>
      <c r="C28" s="12"/>
      <c r="D28" s="12"/>
      <c r="E28" s="12"/>
      <c r="F28" s="12"/>
      <c r="G28" s="12"/>
      <c r="H28" s="16"/>
      <c r="I28" s="16"/>
      <c r="J28" s="16"/>
      <c r="K28" s="16"/>
      <c r="L28" s="16"/>
      <c r="M28" s="16"/>
      <c r="N28" s="14"/>
      <c r="O28" s="18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6" t="s">
        <v>55</v>
      </c>
      <c r="B29" s="17">
        <f t="shared" ref="B29:M29" si="14">(B27/B3)</f>
        <v>10533</v>
      </c>
      <c r="C29" s="17">
        <f t="shared" si="14"/>
        <v>12349.14286</v>
      </c>
      <c r="D29" s="17">
        <f t="shared" si="14"/>
        <v>5554.76378</v>
      </c>
      <c r="E29" s="17">
        <f t="shared" si="14"/>
        <v>4508.547529</v>
      </c>
      <c r="F29" s="17">
        <f t="shared" si="14"/>
        <v>6981.927622</v>
      </c>
      <c r="G29" s="17">
        <f t="shared" si="14"/>
        <v>4567.665116</v>
      </c>
      <c r="H29" s="17">
        <f t="shared" si="14"/>
        <v>5305.010938</v>
      </c>
      <c r="I29" s="17">
        <f t="shared" si="14"/>
        <v>3600.197216</v>
      </c>
      <c r="J29" s="17">
        <f t="shared" si="14"/>
        <v>4464.557743</v>
      </c>
      <c r="K29" s="17">
        <f t="shared" si="14"/>
        <v>5532.134211</v>
      </c>
      <c r="L29" s="17">
        <f t="shared" si="14"/>
        <v>5610.169908</v>
      </c>
      <c r="M29" s="17" t="str">
        <f t="shared" si="14"/>
        <v>#DIV/0!</v>
      </c>
      <c r="N29" s="14">
        <f t="shared" ref="N29:O29" si="15">ROUND(+N27/N3,0)</f>
        <v>5686</v>
      </c>
      <c r="O29" s="18">
        <f t="shared" si="15"/>
        <v>5686</v>
      </c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3"/>
      <c r="O30" s="34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5"/>
      <c r="B31" s="23"/>
      <c r="C31" s="23"/>
      <c r="D31" s="23"/>
      <c r="E31" s="23"/>
      <c r="F31" s="23"/>
      <c r="G31" s="15"/>
      <c r="H31" s="15"/>
      <c r="I31" s="15"/>
      <c r="J31" s="15"/>
      <c r="K31" s="15"/>
      <c r="L31" s="15"/>
      <c r="M31" s="15"/>
      <c r="N31" s="33"/>
      <c r="O31" s="33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33"/>
      <c r="O32" s="33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33"/>
      <c r="O33" s="33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33"/>
      <c r="O34" s="33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33"/>
      <c r="O35" s="33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33"/>
      <c r="O36" s="33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33"/>
      <c r="O37" s="33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33"/>
      <c r="O38" s="33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33"/>
      <c r="O39" s="33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33"/>
      <c r="O40" s="33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33"/>
      <c r="O41" s="33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33"/>
      <c r="O42" s="33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33"/>
      <c r="O43" s="33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33"/>
      <c r="O44" s="33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33"/>
      <c r="O45" s="33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33"/>
      <c r="O46" s="33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33"/>
      <c r="O47" s="33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33"/>
      <c r="O48" s="33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33"/>
      <c r="O49" s="33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33"/>
      <c r="O50" s="33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33"/>
      <c r="O51" s="33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33"/>
      <c r="O52" s="33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33"/>
      <c r="O53" s="33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33"/>
      <c r="O54" s="33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33"/>
      <c r="O55" s="33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33"/>
      <c r="O56" s="33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33"/>
      <c r="O57" s="33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33"/>
      <c r="O58" s="33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33"/>
      <c r="O59" s="33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33"/>
      <c r="O60" s="33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33"/>
      <c r="O61" s="33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33"/>
      <c r="O62" s="33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33"/>
      <c r="O63" s="33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33"/>
      <c r="O64" s="33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33"/>
      <c r="O65" s="33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33"/>
      <c r="O66" s="33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33"/>
      <c r="O67" s="33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33"/>
      <c r="O68" s="33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33"/>
      <c r="O69" s="33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33"/>
      <c r="O70" s="33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33"/>
      <c r="O71" s="33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33"/>
      <c r="O72" s="33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33"/>
      <c r="O73" s="33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33"/>
      <c r="O74" s="33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33"/>
      <c r="O75" s="33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33"/>
      <c r="O76" s="33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33"/>
      <c r="O77" s="33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33"/>
      <c r="O78" s="33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33"/>
      <c r="O79" s="33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33"/>
      <c r="O80" s="33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33"/>
      <c r="O81" s="33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33"/>
      <c r="O82" s="33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33"/>
      <c r="O83" s="33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33"/>
      <c r="O84" s="33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33"/>
      <c r="O85" s="33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33"/>
      <c r="O86" s="33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33"/>
      <c r="O87" s="33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33"/>
      <c r="O88" s="33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33"/>
      <c r="O89" s="33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33"/>
      <c r="O90" s="33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33"/>
      <c r="O91" s="33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33"/>
      <c r="O92" s="33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33"/>
      <c r="O93" s="33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33"/>
      <c r="O94" s="33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33"/>
      <c r="O95" s="33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33"/>
      <c r="O96" s="33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33"/>
      <c r="O97" s="33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33"/>
      <c r="O98" s="33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33"/>
      <c r="O99" s="33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33"/>
      <c r="O100" s="33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33"/>
      <c r="O101" s="33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33"/>
      <c r="O102" s="33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33"/>
      <c r="O103" s="33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33"/>
      <c r="O104" s="33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33"/>
      <c r="O105" s="33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33"/>
      <c r="O106" s="33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33"/>
      <c r="O107" s="33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33"/>
      <c r="O108" s="33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33"/>
      <c r="O109" s="33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33"/>
      <c r="O110" s="33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33"/>
      <c r="O111" s="33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33"/>
      <c r="O112" s="33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33"/>
      <c r="O113" s="33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33"/>
      <c r="O114" s="33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33"/>
      <c r="O115" s="33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33"/>
      <c r="O116" s="33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33"/>
      <c r="O117" s="33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33"/>
      <c r="O118" s="33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33"/>
      <c r="O119" s="33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33"/>
      <c r="O120" s="33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33"/>
      <c r="O121" s="33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33"/>
      <c r="O122" s="33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33"/>
      <c r="O123" s="33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33"/>
      <c r="O124" s="33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33"/>
      <c r="O125" s="33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33"/>
      <c r="O126" s="33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33"/>
      <c r="O127" s="33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33"/>
      <c r="O128" s="33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33"/>
      <c r="O129" s="33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33"/>
      <c r="O130" s="33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33"/>
      <c r="O131" s="33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33"/>
      <c r="O132" s="33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33"/>
      <c r="O133" s="33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33"/>
      <c r="O134" s="33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33"/>
      <c r="O135" s="33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33"/>
      <c r="O136" s="33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33"/>
      <c r="O137" s="33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33"/>
      <c r="O138" s="33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33"/>
      <c r="O139" s="33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33"/>
      <c r="O140" s="33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33"/>
      <c r="O141" s="33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33"/>
      <c r="O142" s="33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33"/>
      <c r="O143" s="33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33"/>
      <c r="O144" s="33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33"/>
      <c r="O145" s="33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33"/>
      <c r="O146" s="33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33"/>
      <c r="O147" s="33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33"/>
      <c r="O148" s="33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33"/>
      <c r="O149" s="33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33"/>
      <c r="O150" s="33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33"/>
      <c r="O151" s="33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33"/>
      <c r="O152" s="33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33"/>
      <c r="O153" s="33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33"/>
      <c r="O154" s="33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33"/>
      <c r="O155" s="33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33"/>
      <c r="O156" s="33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33"/>
      <c r="O157" s="33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33"/>
      <c r="O158" s="33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33"/>
      <c r="O159" s="33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33"/>
      <c r="O160" s="33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33"/>
      <c r="O161" s="33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33"/>
      <c r="O162" s="33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33"/>
      <c r="O163" s="33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33"/>
      <c r="O164" s="33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33"/>
      <c r="O165" s="33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33"/>
      <c r="O166" s="33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33"/>
      <c r="O167" s="33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33"/>
      <c r="O168" s="33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33"/>
      <c r="O169" s="33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33"/>
      <c r="O170" s="33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33"/>
      <c r="O171" s="33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33"/>
      <c r="O172" s="33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33"/>
      <c r="O173" s="33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33"/>
      <c r="O174" s="33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33"/>
      <c r="O175" s="33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33"/>
      <c r="O176" s="33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33"/>
      <c r="O177" s="33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33"/>
      <c r="O178" s="33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33"/>
      <c r="O179" s="33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33"/>
      <c r="O180" s="33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33"/>
      <c r="O181" s="33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33"/>
      <c r="O182" s="33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33"/>
      <c r="O183" s="33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33"/>
      <c r="O184" s="33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33"/>
      <c r="O185" s="33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33"/>
      <c r="O186" s="33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33"/>
      <c r="O187" s="33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33"/>
      <c r="O188" s="33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33"/>
      <c r="O189" s="33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33"/>
      <c r="O190" s="33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33"/>
      <c r="O191" s="33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33"/>
      <c r="O192" s="33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33"/>
      <c r="O193" s="33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33"/>
      <c r="O194" s="33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33"/>
      <c r="O195" s="33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33"/>
      <c r="O196" s="33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33"/>
      <c r="O197" s="33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33"/>
      <c r="O198" s="33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33"/>
      <c r="O199" s="33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33"/>
      <c r="O200" s="33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33"/>
      <c r="O201" s="33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33"/>
      <c r="O202" s="33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33"/>
      <c r="O203" s="33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33"/>
      <c r="O204" s="33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33"/>
      <c r="O205" s="33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33"/>
      <c r="O206" s="33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33"/>
      <c r="O207" s="33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33"/>
      <c r="O208" s="33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33"/>
      <c r="O209" s="33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33"/>
      <c r="O210" s="33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33"/>
      <c r="O211" s="33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33"/>
      <c r="O212" s="33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33"/>
      <c r="O213" s="33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33"/>
      <c r="O214" s="33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33"/>
      <c r="O215" s="33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33"/>
      <c r="O216" s="33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33"/>
      <c r="O217" s="33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33"/>
      <c r="O218" s="33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33"/>
      <c r="O219" s="33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33"/>
      <c r="O220" s="33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33"/>
      <c r="O221" s="33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33"/>
      <c r="O222" s="33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33"/>
      <c r="O223" s="33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33"/>
      <c r="O224" s="33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33"/>
      <c r="O225" s="33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33"/>
      <c r="O226" s="33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33"/>
      <c r="O227" s="33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33"/>
      <c r="O228" s="33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33"/>
      <c r="O229" s="33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33"/>
      <c r="O230" s="33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33"/>
      <c r="O231" s="33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33"/>
      <c r="O232" s="33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33"/>
      <c r="O233" s="33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33"/>
      <c r="O234" s="33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33"/>
      <c r="O235" s="33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33"/>
      <c r="O236" s="33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33"/>
      <c r="O237" s="33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33"/>
      <c r="O238" s="33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33"/>
      <c r="O239" s="33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33"/>
      <c r="O240" s="33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33"/>
      <c r="O241" s="33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33"/>
      <c r="O242" s="33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33"/>
      <c r="O243" s="33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33"/>
      <c r="O244" s="33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33"/>
      <c r="O245" s="33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33"/>
      <c r="O246" s="33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33"/>
      <c r="O247" s="33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33"/>
      <c r="O248" s="33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33"/>
      <c r="O249" s="33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33"/>
      <c r="O250" s="33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33"/>
      <c r="O251" s="33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33"/>
      <c r="O252" s="33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33"/>
      <c r="O253" s="33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33"/>
      <c r="O254" s="33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33"/>
      <c r="O255" s="33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33"/>
      <c r="O256" s="33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33"/>
      <c r="O257" s="33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33"/>
      <c r="O258" s="33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33"/>
      <c r="O259" s="33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33"/>
      <c r="O260" s="33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33"/>
      <c r="O261" s="33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33"/>
      <c r="O262" s="33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33"/>
      <c r="O263" s="33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33"/>
      <c r="O264" s="33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33"/>
      <c r="O265" s="33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33"/>
      <c r="O266" s="33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33"/>
      <c r="O267" s="33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33"/>
      <c r="O268" s="33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33"/>
      <c r="O269" s="33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33"/>
      <c r="O270" s="33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33"/>
      <c r="O271" s="33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33"/>
      <c r="O272" s="33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33"/>
      <c r="O273" s="33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33"/>
      <c r="O274" s="33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33"/>
      <c r="O275" s="33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33"/>
      <c r="O276" s="33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33"/>
      <c r="O277" s="33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33"/>
      <c r="O278" s="33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33"/>
      <c r="O279" s="33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33"/>
      <c r="O280" s="33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33"/>
      <c r="O281" s="33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33"/>
      <c r="O282" s="33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33"/>
      <c r="O283" s="33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33"/>
      <c r="O284" s="33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33"/>
      <c r="O285" s="33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33"/>
      <c r="O286" s="33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33"/>
      <c r="O287" s="33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33"/>
      <c r="O288" s="33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33"/>
      <c r="O289" s="33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33"/>
      <c r="O290" s="33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33"/>
      <c r="O291" s="33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33"/>
      <c r="O292" s="33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33"/>
      <c r="O293" s="33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33"/>
      <c r="O294" s="33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33"/>
      <c r="O295" s="33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33"/>
      <c r="O296" s="33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33"/>
      <c r="O297" s="33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33"/>
      <c r="O298" s="33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33"/>
      <c r="O299" s="33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33"/>
      <c r="O300" s="33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33"/>
      <c r="O301" s="33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33"/>
      <c r="O302" s="33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33"/>
      <c r="O303" s="33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33"/>
      <c r="O304" s="33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33"/>
      <c r="O305" s="33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33"/>
      <c r="O306" s="33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33"/>
      <c r="O307" s="33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33"/>
      <c r="O308" s="33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33"/>
      <c r="O309" s="33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33"/>
      <c r="O310" s="33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33"/>
      <c r="O311" s="33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33"/>
      <c r="O312" s="33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33"/>
      <c r="O313" s="33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33"/>
      <c r="O314" s="33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33"/>
      <c r="O315" s="33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33"/>
      <c r="O316" s="33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33"/>
      <c r="O317" s="33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33"/>
      <c r="O318" s="33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33"/>
      <c r="O319" s="33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33"/>
      <c r="O320" s="33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33"/>
      <c r="O321" s="33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33"/>
      <c r="O322" s="33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33"/>
      <c r="O323" s="33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33"/>
      <c r="O324" s="33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33"/>
      <c r="O325" s="33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33"/>
      <c r="O326" s="33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33"/>
      <c r="O327" s="33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33"/>
      <c r="O328" s="33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33"/>
      <c r="O329" s="33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33"/>
      <c r="O330" s="33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33"/>
      <c r="O331" s="33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33"/>
      <c r="O332" s="33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33"/>
      <c r="O333" s="33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33"/>
      <c r="O334" s="33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33"/>
      <c r="O335" s="33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33"/>
      <c r="O336" s="33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33"/>
      <c r="O337" s="33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33"/>
      <c r="O338" s="33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33"/>
      <c r="O339" s="33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33"/>
      <c r="O340" s="33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33"/>
      <c r="O341" s="33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33"/>
      <c r="O342" s="33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33"/>
      <c r="O343" s="33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33"/>
      <c r="O344" s="33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33"/>
      <c r="O345" s="33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33"/>
      <c r="O346" s="33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33"/>
      <c r="O347" s="33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33"/>
      <c r="O348" s="33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33"/>
      <c r="O349" s="33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33"/>
      <c r="O350" s="33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33"/>
      <c r="O351" s="33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33"/>
      <c r="O352" s="33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33"/>
      <c r="O353" s="33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33"/>
      <c r="O354" s="33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33"/>
      <c r="O355" s="33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33"/>
      <c r="O356" s="33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33"/>
      <c r="O357" s="33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33"/>
      <c r="O358" s="33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33"/>
      <c r="O359" s="33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33"/>
      <c r="O360" s="33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33"/>
      <c r="O361" s="33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33"/>
      <c r="O362" s="33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33"/>
      <c r="O363" s="33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33"/>
      <c r="O364" s="33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33"/>
      <c r="O365" s="33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33"/>
      <c r="O366" s="33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33"/>
      <c r="O367" s="33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33"/>
      <c r="O368" s="33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33"/>
      <c r="O369" s="33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33"/>
      <c r="O370" s="33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33"/>
      <c r="O371" s="33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33"/>
      <c r="O372" s="33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33"/>
      <c r="O373" s="33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33"/>
      <c r="O374" s="33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33"/>
      <c r="O375" s="33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33"/>
      <c r="O376" s="33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33"/>
      <c r="O377" s="33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33"/>
      <c r="O378" s="33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33"/>
      <c r="O379" s="33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33"/>
      <c r="O380" s="33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33"/>
      <c r="O381" s="33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33"/>
      <c r="O382" s="33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33"/>
      <c r="O383" s="33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33"/>
      <c r="O384" s="33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33"/>
      <c r="O385" s="33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33"/>
      <c r="O386" s="33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33"/>
      <c r="O387" s="33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33"/>
      <c r="O388" s="33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33"/>
      <c r="O389" s="33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33"/>
      <c r="O390" s="33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33"/>
      <c r="O391" s="33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33"/>
      <c r="O392" s="33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33"/>
      <c r="O393" s="33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33"/>
      <c r="O394" s="33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33"/>
      <c r="O395" s="33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33"/>
      <c r="O396" s="33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33"/>
      <c r="O397" s="33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33"/>
      <c r="O398" s="33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33"/>
      <c r="O399" s="33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33"/>
      <c r="O400" s="33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33"/>
      <c r="O401" s="33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33"/>
      <c r="O402" s="33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33"/>
      <c r="O403" s="33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33"/>
      <c r="O404" s="33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33"/>
      <c r="O405" s="33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33"/>
      <c r="O406" s="33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33"/>
      <c r="O407" s="33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33"/>
      <c r="O408" s="33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33"/>
      <c r="O409" s="33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33"/>
      <c r="O410" s="33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33"/>
      <c r="O411" s="33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33"/>
      <c r="O412" s="33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33"/>
      <c r="O413" s="33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33"/>
      <c r="O414" s="33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33"/>
      <c r="O415" s="33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33"/>
      <c r="O416" s="33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33"/>
      <c r="O417" s="33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33"/>
      <c r="O418" s="33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33"/>
      <c r="O419" s="33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33"/>
      <c r="O420" s="33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33"/>
      <c r="O421" s="33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33"/>
      <c r="O422" s="33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33"/>
      <c r="O423" s="33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33"/>
      <c r="O424" s="33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33"/>
      <c r="O425" s="33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33"/>
      <c r="O426" s="33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33"/>
      <c r="O427" s="33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33"/>
      <c r="O428" s="33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33"/>
      <c r="O429" s="33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33"/>
      <c r="O430" s="33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33"/>
      <c r="O431" s="33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33"/>
      <c r="O432" s="33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33"/>
      <c r="O433" s="33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33"/>
      <c r="O434" s="33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33"/>
      <c r="O435" s="33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33"/>
      <c r="O436" s="33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33"/>
      <c r="O437" s="33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33"/>
      <c r="O438" s="33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33"/>
      <c r="O439" s="33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33"/>
      <c r="O440" s="33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33"/>
      <c r="O441" s="33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33"/>
      <c r="O442" s="33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33"/>
      <c r="O443" s="33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33"/>
      <c r="O444" s="33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33"/>
      <c r="O445" s="33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33"/>
      <c r="O446" s="33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33"/>
      <c r="O447" s="33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33"/>
      <c r="O448" s="33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33"/>
      <c r="O449" s="33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33"/>
      <c r="O450" s="33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33"/>
      <c r="O451" s="33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33"/>
      <c r="O452" s="33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33"/>
      <c r="O453" s="33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33"/>
      <c r="O454" s="33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33"/>
      <c r="O455" s="33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33"/>
      <c r="O456" s="33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33"/>
      <c r="O457" s="33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33"/>
      <c r="O458" s="33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33"/>
      <c r="O459" s="33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33"/>
      <c r="O460" s="33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33"/>
      <c r="O461" s="33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33"/>
      <c r="O462" s="33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33"/>
      <c r="O463" s="33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33"/>
      <c r="O464" s="33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33"/>
      <c r="O465" s="33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33"/>
      <c r="O466" s="33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33"/>
      <c r="O467" s="33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33"/>
      <c r="O468" s="33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33"/>
      <c r="O469" s="33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33"/>
      <c r="O470" s="33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33"/>
      <c r="O471" s="33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33"/>
      <c r="O472" s="33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33"/>
      <c r="O473" s="33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33"/>
      <c r="O474" s="33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33"/>
      <c r="O475" s="33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33"/>
      <c r="O476" s="33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33"/>
      <c r="O477" s="33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33"/>
      <c r="O478" s="33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33"/>
      <c r="O479" s="33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33"/>
      <c r="O480" s="33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33"/>
      <c r="O481" s="33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33"/>
      <c r="O482" s="33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33"/>
      <c r="O483" s="33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33"/>
      <c r="O484" s="33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33"/>
      <c r="O485" s="33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33"/>
      <c r="O486" s="33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33"/>
      <c r="O487" s="33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33"/>
      <c r="O488" s="33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33"/>
      <c r="O489" s="33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33"/>
      <c r="O490" s="33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33"/>
      <c r="O491" s="33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33"/>
      <c r="O492" s="33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33"/>
      <c r="O493" s="33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33"/>
      <c r="O494" s="33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33"/>
      <c r="O495" s="33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33"/>
      <c r="O496" s="33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33"/>
      <c r="O497" s="33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33"/>
      <c r="O498" s="33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33"/>
      <c r="O499" s="33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33"/>
      <c r="O500" s="33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33"/>
      <c r="O501" s="33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33"/>
      <c r="O502" s="33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33"/>
      <c r="O503" s="33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33"/>
      <c r="O504" s="33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33"/>
      <c r="O505" s="33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33"/>
      <c r="O506" s="33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33"/>
      <c r="O507" s="33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33"/>
      <c r="O508" s="33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33"/>
      <c r="O509" s="33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33"/>
      <c r="O510" s="33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33"/>
      <c r="O511" s="33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33"/>
      <c r="O512" s="33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33"/>
      <c r="O513" s="33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33"/>
      <c r="O514" s="33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33"/>
      <c r="O515" s="33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33"/>
      <c r="O516" s="33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33"/>
      <c r="O517" s="33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33"/>
      <c r="O518" s="33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33"/>
      <c r="O519" s="33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33"/>
      <c r="O520" s="33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33"/>
      <c r="O521" s="33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33"/>
      <c r="O522" s="33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33"/>
      <c r="O523" s="33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33"/>
      <c r="O524" s="33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33"/>
      <c r="O525" s="33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33"/>
      <c r="O526" s="33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33"/>
      <c r="O527" s="33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33"/>
      <c r="O528" s="33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33"/>
      <c r="O529" s="33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33"/>
      <c r="O530" s="33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33"/>
      <c r="O531" s="33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33"/>
      <c r="O532" s="33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33"/>
      <c r="O533" s="33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33"/>
      <c r="O534" s="33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33"/>
      <c r="O535" s="33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33"/>
      <c r="O536" s="33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33"/>
      <c r="O537" s="33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33"/>
      <c r="O538" s="33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33"/>
      <c r="O539" s="33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33"/>
      <c r="O540" s="33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33"/>
      <c r="O541" s="33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33"/>
      <c r="O542" s="33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33"/>
      <c r="O543" s="33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33"/>
      <c r="O544" s="33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33"/>
      <c r="O545" s="33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33"/>
      <c r="O546" s="33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33"/>
      <c r="O547" s="33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33"/>
      <c r="O548" s="33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33"/>
      <c r="O549" s="33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33"/>
      <c r="O550" s="33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33"/>
      <c r="O551" s="33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33"/>
      <c r="O552" s="33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33"/>
      <c r="O553" s="33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33"/>
      <c r="O554" s="33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33"/>
      <c r="O555" s="33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33"/>
      <c r="O556" s="33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33"/>
      <c r="O557" s="33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33"/>
      <c r="O558" s="33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33"/>
      <c r="O559" s="33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33"/>
      <c r="O560" s="33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33"/>
      <c r="O561" s="33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33"/>
      <c r="O562" s="33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33"/>
      <c r="O563" s="33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33"/>
      <c r="O564" s="33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33"/>
      <c r="O565" s="33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33"/>
      <c r="O566" s="33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33"/>
      <c r="O567" s="33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33"/>
      <c r="O568" s="33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33"/>
      <c r="O569" s="33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33"/>
      <c r="O570" s="33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33"/>
      <c r="O571" s="33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33"/>
      <c r="O572" s="33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33"/>
      <c r="O573" s="33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33"/>
      <c r="O574" s="33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33"/>
      <c r="O575" s="33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33"/>
      <c r="O576" s="33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33"/>
      <c r="O577" s="33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33"/>
      <c r="O578" s="33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33"/>
      <c r="O579" s="33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33"/>
      <c r="O580" s="33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33"/>
      <c r="O581" s="33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33"/>
      <c r="O582" s="33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33"/>
      <c r="O583" s="33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33"/>
      <c r="O584" s="33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33"/>
      <c r="O585" s="33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33"/>
      <c r="O586" s="33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33"/>
      <c r="O587" s="33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33"/>
      <c r="O588" s="33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33"/>
      <c r="O589" s="33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33"/>
      <c r="O590" s="33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33"/>
      <c r="O591" s="33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33"/>
      <c r="O592" s="33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33"/>
      <c r="O593" s="33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33"/>
      <c r="O594" s="33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33"/>
      <c r="O595" s="33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33"/>
      <c r="O596" s="33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33"/>
      <c r="O597" s="33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33"/>
      <c r="O598" s="33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33"/>
      <c r="O599" s="33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33"/>
      <c r="O600" s="33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33"/>
      <c r="O601" s="33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33"/>
      <c r="O602" s="33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33"/>
      <c r="O603" s="33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33"/>
      <c r="O604" s="33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33"/>
      <c r="O605" s="33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33"/>
      <c r="O606" s="33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33"/>
      <c r="O607" s="33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33"/>
      <c r="O608" s="33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33"/>
      <c r="O609" s="33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33"/>
      <c r="O610" s="33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33"/>
      <c r="O611" s="33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33"/>
      <c r="O612" s="33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33"/>
      <c r="O613" s="33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33"/>
      <c r="O614" s="33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33"/>
      <c r="O615" s="33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33"/>
      <c r="O616" s="33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33"/>
      <c r="O617" s="33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33"/>
      <c r="O618" s="33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33"/>
      <c r="O619" s="33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33"/>
      <c r="O620" s="33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33"/>
      <c r="O621" s="33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33"/>
      <c r="O622" s="33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33"/>
      <c r="O623" s="33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33"/>
      <c r="O624" s="33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33"/>
      <c r="O625" s="33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33"/>
      <c r="O626" s="33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33"/>
      <c r="O627" s="33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33"/>
      <c r="O628" s="33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33"/>
      <c r="O629" s="33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33"/>
      <c r="O630" s="33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33"/>
      <c r="O631" s="33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33"/>
      <c r="O632" s="33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33"/>
      <c r="O633" s="33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33"/>
      <c r="O634" s="33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33"/>
      <c r="O635" s="33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33"/>
      <c r="O636" s="33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33"/>
      <c r="O637" s="33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33"/>
      <c r="O638" s="33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33"/>
      <c r="O639" s="33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33"/>
      <c r="O640" s="33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33"/>
      <c r="O641" s="33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33"/>
      <c r="O642" s="33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33"/>
      <c r="O643" s="33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33"/>
      <c r="O644" s="33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33"/>
      <c r="O645" s="33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33"/>
      <c r="O646" s="33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33"/>
      <c r="O647" s="33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33"/>
      <c r="O648" s="33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33"/>
      <c r="O649" s="33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33"/>
      <c r="O650" s="33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33"/>
      <c r="O651" s="33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33"/>
      <c r="O652" s="33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33"/>
      <c r="O653" s="33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33"/>
      <c r="O654" s="33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33"/>
      <c r="O655" s="33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33"/>
      <c r="O656" s="33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33"/>
      <c r="O657" s="33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33"/>
      <c r="O658" s="33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33"/>
      <c r="O659" s="33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33"/>
      <c r="O660" s="33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33"/>
      <c r="O661" s="33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33"/>
      <c r="O662" s="33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33"/>
      <c r="O663" s="33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33"/>
      <c r="O664" s="33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33"/>
      <c r="O665" s="33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33"/>
      <c r="O666" s="33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33"/>
      <c r="O667" s="33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33"/>
      <c r="O668" s="33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33"/>
      <c r="O669" s="33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33"/>
      <c r="O670" s="33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33"/>
      <c r="O671" s="33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33"/>
      <c r="O672" s="33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33"/>
      <c r="O673" s="33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33"/>
      <c r="O674" s="33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33"/>
      <c r="O675" s="33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33"/>
      <c r="O676" s="33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33"/>
      <c r="O677" s="33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33"/>
      <c r="O678" s="33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33"/>
      <c r="O679" s="33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33"/>
      <c r="O680" s="33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33"/>
      <c r="O681" s="33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33"/>
      <c r="O682" s="33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33"/>
      <c r="O683" s="33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33"/>
      <c r="O684" s="33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33"/>
      <c r="O685" s="33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33"/>
      <c r="O686" s="33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33"/>
      <c r="O687" s="33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33"/>
      <c r="O688" s="33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33"/>
      <c r="O689" s="33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33"/>
      <c r="O690" s="33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33"/>
      <c r="O691" s="33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33"/>
      <c r="O692" s="33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33"/>
      <c r="O693" s="33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33"/>
      <c r="O694" s="33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33"/>
      <c r="O695" s="33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33"/>
      <c r="O696" s="33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33"/>
      <c r="O697" s="33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33"/>
      <c r="O698" s="33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33"/>
      <c r="O699" s="33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33"/>
      <c r="O700" s="33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33"/>
      <c r="O701" s="33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33"/>
      <c r="O702" s="33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33"/>
      <c r="O703" s="33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33"/>
      <c r="O704" s="33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33"/>
      <c r="O705" s="33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33"/>
      <c r="O706" s="33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33"/>
      <c r="O707" s="33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33"/>
      <c r="O708" s="33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33"/>
      <c r="O709" s="33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33"/>
      <c r="O710" s="33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33"/>
      <c r="O711" s="33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33"/>
      <c r="O712" s="33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33"/>
      <c r="O713" s="33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33"/>
      <c r="O714" s="33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33"/>
      <c r="O715" s="33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33"/>
      <c r="O716" s="33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33"/>
      <c r="O717" s="33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33"/>
      <c r="O718" s="33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33"/>
      <c r="O719" s="33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33"/>
      <c r="O720" s="33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33"/>
      <c r="O721" s="33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33"/>
      <c r="O722" s="33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33"/>
      <c r="O723" s="33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33"/>
      <c r="O724" s="33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33"/>
      <c r="O725" s="33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33"/>
      <c r="O726" s="33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33"/>
      <c r="O727" s="33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33"/>
      <c r="O728" s="33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33"/>
      <c r="O729" s="33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33"/>
      <c r="O730" s="33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33"/>
      <c r="O731" s="33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33"/>
      <c r="O732" s="33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33"/>
      <c r="O733" s="33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33"/>
      <c r="O734" s="33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33"/>
      <c r="O735" s="33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33"/>
      <c r="O736" s="33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33"/>
      <c r="O737" s="33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33"/>
      <c r="O738" s="33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33"/>
      <c r="O739" s="33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33"/>
      <c r="O740" s="33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33"/>
      <c r="O741" s="33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33"/>
      <c r="O742" s="33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33"/>
      <c r="O743" s="33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33"/>
      <c r="O744" s="33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33"/>
      <c r="O745" s="33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33"/>
      <c r="O746" s="33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33"/>
      <c r="O747" s="33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33"/>
      <c r="O748" s="33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33"/>
      <c r="O749" s="33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33"/>
      <c r="O750" s="33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33"/>
      <c r="O751" s="33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33"/>
      <c r="O752" s="33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33"/>
      <c r="O753" s="33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33"/>
      <c r="O754" s="33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33"/>
      <c r="O755" s="33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33"/>
      <c r="O756" s="33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33"/>
      <c r="O757" s="33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33"/>
      <c r="O758" s="33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33"/>
      <c r="O759" s="33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33"/>
      <c r="O760" s="33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33"/>
      <c r="O761" s="33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33"/>
      <c r="O762" s="33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33"/>
      <c r="O763" s="33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33"/>
      <c r="O764" s="33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33"/>
      <c r="O765" s="33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33"/>
      <c r="O766" s="33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33"/>
      <c r="O767" s="33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33"/>
      <c r="O768" s="33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33"/>
      <c r="O769" s="33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33"/>
      <c r="O770" s="33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33"/>
      <c r="O771" s="33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33"/>
      <c r="O772" s="33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33"/>
      <c r="O773" s="33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33"/>
      <c r="O774" s="33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33"/>
      <c r="O775" s="33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33"/>
      <c r="O776" s="33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33"/>
      <c r="O777" s="33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33"/>
      <c r="O778" s="33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33"/>
      <c r="O779" s="33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33"/>
      <c r="O780" s="33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33"/>
      <c r="O781" s="33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33"/>
      <c r="O782" s="33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33"/>
      <c r="O783" s="33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33"/>
      <c r="O784" s="33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33"/>
      <c r="O785" s="33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33"/>
      <c r="O786" s="33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33"/>
      <c r="O787" s="33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33"/>
      <c r="O788" s="33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33"/>
      <c r="O789" s="33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33"/>
      <c r="O790" s="33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33"/>
      <c r="O791" s="33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33"/>
      <c r="O792" s="33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33"/>
      <c r="O793" s="33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33"/>
      <c r="O794" s="33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33"/>
      <c r="O795" s="33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33"/>
      <c r="O796" s="33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33"/>
      <c r="O797" s="33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33"/>
      <c r="O798" s="33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33"/>
      <c r="O799" s="33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33"/>
      <c r="O800" s="33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33"/>
      <c r="O801" s="33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33"/>
      <c r="O802" s="33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33"/>
      <c r="O803" s="33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33"/>
      <c r="O804" s="33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33"/>
      <c r="O805" s="33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33"/>
      <c r="O806" s="33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33"/>
      <c r="O807" s="33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33"/>
      <c r="O808" s="33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33"/>
      <c r="O809" s="33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33"/>
      <c r="O810" s="33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33"/>
      <c r="O811" s="33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33"/>
      <c r="O812" s="33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33"/>
      <c r="O813" s="33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33"/>
      <c r="O814" s="33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33"/>
      <c r="O815" s="33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33"/>
      <c r="O816" s="33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33"/>
      <c r="O817" s="33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33"/>
      <c r="O818" s="33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33"/>
      <c r="O819" s="33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33"/>
      <c r="O820" s="33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33"/>
      <c r="O821" s="33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33"/>
      <c r="O822" s="33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33"/>
      <c r="O823" s="33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33"/>
      <c r="O824" s="33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33"/>
      <c r="O825" s="33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33"/>
      <c r="O826" s="33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33"/>
      <c r="O827" s="33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33"/>
      <c r="O828" s="33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33"/>
      <c r="O829" s="33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33"/>
      <c r="O830" s="33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33"/>
      <c r="O831" s="33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33"/>
      <c r="O832" s="33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33"/>
      <c r="O833" s="33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33"/>
      <c r="O834" s="33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33"/>
      <c r="O835" s="33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33"/>
      <c r="O836" s="33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33"/>
      <c r="O837" s="33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33"/>
      <c r="O838" s="33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33"/>
      <c r="O839" s="33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33"/>
      <c r="O840" s="33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33"/>
      <c r="O841" s="33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33"/>
      <c r="O842" s="33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33"/>
      <c r="O843" s="33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33"/>
      <c r="O844" s="33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33"/>
      <c r="O845" s="33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33"/>
      <c r="O846" s="33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33"/>
      <c r="O847" s="33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33"/>
      <c r="O848" s="33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33"/>
      <c r="O849" s="33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33"/>
      <c r="O850" s="33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33"/>
      <c r="O851" s="33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33"/>
      <c r="O852" s="33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33"/>
      <c r="O853" s="33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33"/>
      <c r="O854" s="33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33"/>
      <c r="O855" s="33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33"/>
      <c r="O856" s="33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33"/>
      <c r="O857" s="33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33"/>
      <c r="O858" s="33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33"/>
      <c r="O859" s="33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33"/>
      <c r="O860" s="33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33"/>
      <c r="O861" s="33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33"/>
      <c r="O862" s="33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33"/>
      <c r="O863" s="33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33"/>
      <c r="O864" s="33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33"/>
      <c r="O865" s="33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33"/>
      <c r="O866" s="33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33"/>
      <c r="O867" s="33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33"/>
      <c r="O868" s="33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33"/>
      <c r="O869" s="33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33"/>
      <c r="O870" s="33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33"/>
      <c r="O871" s="33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33"/>
      <c r="O872" s="33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33"/>
      <c r="O873" s="33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33"/>
      <c r="O874" s="33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33"/>
      <c r="O875" s="33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33"/>
      <c r="O876" s="33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33"/>
      <c r="O877" s="33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33"/>
      <c r="O878" s="33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33"/>
      <c r="O879" s="33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33"/>
      <c r="O880" s="33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33"/>
      <c r="O881" s="33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33"/>
      <c r="O882" s="33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33"/>
      <c r="O883" s="33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33"/>
      <c r="O884" s="33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33"/>
      <c r="O885" s="33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33"/>
      <c r="O886" s="33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33"/>
      <c r="O887" s="33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33"/>
      <c r="O888" s="33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33"/>
      <c r="O889" s="33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33"/>
      <c r="O890" s="33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33"/>
      <c r="O891" s="33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33"/>
      <c r="O892" s="33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33"/>
      <c r="O893" s="33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33"/>
      <c r="O894" s="33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33"/>
      <c r="O895" s="33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33"/>
      <c r="O896" s="33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33"/>
      <c r="O897" s="33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33"/>
      <c r="O898" s="33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33"/>
      <c r="O899" s="33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33"/>
      <c r="O900" s="33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33"/>
      <c r="O901" s="33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33"/>
      <c r="O902" s="33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33"/>
      <c r="O903" s="33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33"/>
      <c r="O904" s="33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33"/>
      <c r="O905" s="33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33"/>
      <c r="O906" s="33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33"/>
      <c r="O907" s="33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33"/>
      <c r="O908" s="33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33"/>
      <c r="O909" s="33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33"/>
      <c r="O910" s="33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33"/>
      <c r="O911" s="33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33"/>
      <c r="O912" s="33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33"/>
      <c r="O913" s="33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33"/>
      <c r="O914" s="33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33"/>
      <c r="O915" s="33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33"/>
      <c r="O916" s="33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33"/>
      <c r="O917" s="33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33"/>
      <c r="O918" s="33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33"/>
      <c r="O919" s="33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33"/>
      <c r="O920" s="33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33"/>
      <c r="O921" s="33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33"/>
      <c r="O922" s="33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33"/>
      <c r="O923" s="33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33"/>
      <c r="O924" s="33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33"/>
      <c r="O925" s="33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33"/>
      <c r="O926" s="33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33"/>
      <c r="O927" s="33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33"/>
      <c r="O928" s="33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33"/>
      <c r="O929" s="33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33"/>
      <c r="O930" s="33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33"/>
      <c r="O931" s="33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33"/>
      <c r="O932" s="33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33"/>
      <c r="O933" s="33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33"/>
      <c r="O934" s="33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33"/>
      <c r="O935" s="33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33"/>
      <c r="O936" s="33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33"/>
      <c r="O937" s="33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33"/>
      <c r="O938" s="33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33"/>
      <c r="O939" s="33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33"/>
      <c r="O940" s="33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33"/>
      <c r="O941" s="33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33"/>
      <c r="O942" s="33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33"/>
      <c r="O943" s="33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33"/>
      <c r="O944" s="33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33"/>
      <c r="O945" s="33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33"/>
      <c r="O946" s="33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33"/>
      <c r="O947" s="33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33"/>
      <c r="O948" s="33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33"/>
      <c r="O949" s="33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33"/>
      <c r="O950" s="33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33"/>
      <c r="O951" s="33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33"/>
      <c r="O952" s="33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33"/>
      <c r="O953" s="33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33"/>
      <c r="O954" s="33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33"/>
      <c r="O955" s="33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33"/>
      <c r="O956" s="33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33"/>
      <c r="O957" s="33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33"/>
      <c r="O958" s="33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33"/>
      <c r="O959" s="33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33"/>
      <c r="O960" s="33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33"/>
      <c r="O961" s="33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33"/>
      <c r="O962" s="33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33"/>
      <c r="O963" s="33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33"/>
      <c r="O964" s="33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33"/>
      <c r="O965" s="33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33"/>
      <c r="O966" s="33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33"/>
      <c r="O967" s="33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33"/>
      <c r="O968" s="33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33"/>
      <c r="O969" s="33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33"/>
      <c r="O970" s="33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33"/>
      <c r="O971" s="33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33"/>
      <c r="O972" s="33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33"/>
      <c r="O973" s="33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33"/>
      <c r="O974" s="33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33"/>
      <c r="O975" s="33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33"/>
      <c r="O976" s="33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33"/>
      <c r="O977" s="33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33"/>
      <c r="O978" s="33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33"/>
      <c r="O979" s="33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33"/>
      <c r="O980" s="33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33"/>
      <c r="O981" s="33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33"/>
      <c r="O982" s="33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33"/>
      <c r="O983" s="33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33"/>
      <c r="O984" s="33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33"/>
      <c r="O985" s="33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33"/>
      <c r="O986" s="33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33"/>
      <c r="O987" s="33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33"/>
      <c r="O988" s="33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33"/>
      <c r="O989" s="33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33"/>
      <c r="O990" s="33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33"/>
      <c r="O991" s="33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33"/>
      <c r="O992" s="33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33"/>
      <c r="O993" s="33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33"/>
      <c r="O994" s="33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33"/>
      <c r="O995" s="33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33"/>
      <c r="O996" s="33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33"/>
      <c r="O997" s="33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33"/>
      <c r="O998" s="33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33"/>
      <c r="O999" s="33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33"/>
      <c r="O1000" s="33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10.63"/>
    <col customWidth="1" min="3" max="3" width="19.13"/>
    <col customWidth="1" min="4" max="26" width="7.63"/>
  </cols>
  <sheetData>
    <row r="2">
      <c r="A2" s="35" t="s">
        <v>56</v>
      </c>
      <c r="B2" s="36" t="s">
        <v>57</v>
      </c>
      <c r="C2" s="36" t="s">
        <v>58</v>
      </c>
      <c r="D2" s="36" t="s">
        <v>59</v>
      </c>
    </row>
    <row r="3">
      <c r="A3" s="36">
        <v>1.0</v>
      </c>
      <c r="B3" s="36" t="s">
        <v>60</v>
      </c>
      <c r="C3" s="37">
        <v>42370.0</v>
      </c>
      <c r="D3" s="36">
        <v>3456.0</v>
      </c>
    </row>
    <row r="4">
      <c r="A4" s="36">
        <v>2.0</v>
      </c>
      <c r="B4" s="38" t="s">
        <v>61</v>
      </c>
      <c r="D4" s="36">
        <v>43.0</v>
      </c>
    </row>
    <row r="5">
      <c r="A5" s="36">
        <v>3.0</v>
      </c>
      <c r="D5" s="36">
        <v>545.0</v>
      </c>
    </row>
    <row r="6">
      <c r="A6" s="36">
        <v>4.0</v>
      </c>
      <c r="D6" s="36">
        <v>4545.0</v>
      </c>
    </row>
    <row r="7">
      <c r="A7" s="38">
        <v>5.0</v>
      </c>
      <c r="D7" s="36">
        <v>5435.0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A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